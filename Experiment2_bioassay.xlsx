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t\Dropbox\Lee et al_Climate change and plant-mediated herbivore interaction\Raw data\"/>
    </mc:Choice>
  </mc:AlternateContent>
  <xr:revisionPtr revIDLastSave="0" documentId="13_ncr:1_{88C01074-2D29-41C8-B0EE-3D5D55CEA9EB}" xr6:coauthVersionLast="36" xr6:coauthVersionMax="36" xr10:uidLastSave="{00000000-0000-0000-0000-000000000000}"/>
  <bookViews>
    <workbookView xWindow="0" yWindow="0" windowWidth="13788" windowHeight="4332" xr2:uid="{ED78E37F-580B-40A3-89B0-1153B8319E5F}"/>
  </bookViews>
  <sheets>
    <sheet name="Abbreviation" sheetId="17" r:id="rId1"/>
    <sheet name="raw data" sheetId="16" r:id="rId2"/>
    <sheet name="Sheet5" sheetId="15" state="hidden" r:id="rId3"/>
  </sheets>
  <definedNames>
    <definedName name="_xlnm._FilterDatabase" localSheetId="1" hidden="1">'raw data'!$A$1:$H$143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5" l="1"/>
  <c r="C15" i="15"/>
  <c r="F25" i="15"/>
  <c r="G25" i="15"/>
  <c r="K25" i="15"/>
  <c r="J25" i="15"/>
  <c r="O25" i="15"/>
  <c r="N25" i="15"/>
  <c r="N27" i="15"/>
  <c r="J27" i="15"/>
  <c r="F27" i="15"/>
  <c r="B27" i="15"/>
</calcChain>
</file>

<file path=xl/sharedStrings.xml><?xml version="1.0" encoding="utf-8"?>
<sst xmlns="http://schemas.openxmlformats.org/spreadsheetml/2006/main" count="491" uniqueCount="51">
  <si>
    <t>SPO</t>
  </si>
  <si>
    <t>GPA</t>
  </si>
  <si>
    <t>both</t>
  </si>
  <si>
    <t>ttest</t>
  </si>
  <si>
    <t>a</t>
  </si>
  <si>
    <t>e</t>
  </si>
  <si>
    <t>ctrl</t>
  </si>
  <si>
    <t>Date</t>
  </si>
  <si>
    <t>plant_freshmass</t>
  </si>
  <si>
    <t>herbivory</t>
  </si>
  <si>
    <t>spo</t>
  </si>
  <si>
    <t>gpa</t>
  </si>
  <si>
    <t>ac1</t>
  </si>
  <si>
    <t>ac2</t>
  </si>
  <si>
    <t>ec1</t>
  </si>
  <si>
    <t>ec2</t>
  </si>
  <si>
    <t>chamber</t>
  </si>
  <si>
    <t>ac</t>
  </si>
  <si>
    <t>ec</t>
  </si>
  <si>
    <t>co2</t>
  </si>
  <si>
    <t>plant_drymass</t>
  </si>
  <si>
    <t>spo_mass</t>
  </si>
  <si>
    <t>gpa_num</t>
  </si>
  <si>
    <t>ja</t>
  </si>
  <si>
    <t>sa</t>
  </si>
  <si>
    <t>aba</t>
  </si>
  <si>
    <t>Sampling</t>
  </si>
  <si>
    <t>Abbreviation</t>
  </si>
  <si>
    <t>CO2 treatment</t>
  </si>
  <si>
    <t>Ambient CO2 chamber</t>
  </si>
  <si>
    <t>Herbivory treatment</t>
  </si>
  <si>
    <t>Concentration of jasmonic acid (ng/g)</t>
  </si>
  <si>
    <t>Concentration of salicylic acid (ng/g)</t>
  </si>
  <si>
    <t>Concentration of abscisic acid (ng/g)</t>
  </si>
  <si>
    <t>11 October 2024</t>
  </si>
  <si>
    <t>25 October 2024</t>
  </si>
  <si>
    <t xml:space="preserve">1 November 2024 </t>
  </si>
  <si>
    <t>4 October 2024</t>
  </si>
  <si>
    <t>Transplanting to pots</t>
  </si>
  <si>
    <t>Initiation of CO2 treatment</t>
  </si>
  <si>
    <t>Initiation of bioassay</t>
  </si>
  <si>
    <t>Individual chamber identity</t>
  </si>
  <si>
    <t>Elevated CO2 chamber</t>
  </si>
  <si>
    <t>Control (no herbivory)</t>
  </si>
  <si>
    <t>Aboveground plant fresh mass (mg)</t>
  </si>
  <si>
    <t>Aboveground plant dry mass (mg)</t>
  </si>
  <si>
    <r>
      <t>Single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>)</t>
    </r>
  </si>
  <si>
    <r>
      <t>Single herbivory (</t>
    </r>
    <r>
      <rPr>
        <i/>
        <sz val="11"/>
        <color theme="1"/>
        <rFont val="Times New Roman"/>
        <family val="1"/>
      </rPr>
      <t>M. persica</t>
    </r>
    <r>
      <rPr>
        <sz val="11"/>
        <color theme="1"/>
        <rFont val="Times New Roman"/>
        <family val="1"/>
      </rPr>
      <t>e)</t>
    </r>
  </si>
  <si>
    <r>
      <t>Dual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 xml:space="preserve"> + </t>
    </r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</si>
  <si>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 xml:space="preserve"> number</t>
    </r>
  </si>
  <si>
    <r>
      <rPr>
        <i/>
        <sz val="11"/>
        <color theme="1"/>
        <rFont val="Times New Roman"/>
        <family val="1"/>
      </rPr>
      <t xml:space="preserve">S. litura </t>
    </r>
    <r>
      <rPr>
        <sz val="11"/>
        <color theme="1"/>
        <rFont val="Times New Roman"/>
        <family val="1"/>
      </rPr>
      <t>larval mass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</si>
</sst>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1" xfId="0" applyFill="1" applyBorder="1"/>
    <xf numFmtId="0" fontId="1" fillId="0" borderId="1" xfId="1" applyFill="1" applyBorder="1"/>
    <xf numFmtId="0" fontId="0" fillId="0" borderId="1" xfId="1" applyFont="1" applyFill="1" applyBorder="1"/>
    <xf numFmtId="0" fontId="1" fillId="3" borderId="0" xfId="2"/>
    <xf numFmtId="0" fontId="0" fillId="0" borderId="0" xfId="0" applyFill="1"/>
    <xf numFmtId="0" fontId="3" fillId="0" borderId="2" xfId="0" applyFont="1" applyBorder="1"/>
    <xf numFmtId="0" fontId="3" fillId="0" borderId="0" xfId="0" applyFont="1"/>
    <xf numFmtId="0" fontId="3" fillId="0" borderId="0" xfId="0" applyFont="1" applyBorder="1"/>
  </cellXfs>
  <cellStyles count="4">
    <cellStyle name="20% - 강조색1" xfId="1" builtinId="30"/>
    <cellStyle name="20% - 강조색2" xfId="2" builtinId="34"/>
    <cellStyle name="표준" xfId="0" builtinId="0"/>
    <cellStyle name="표준 2" xfId="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6247-0E27-4520-9567-08D57D2B119F}">
  <dimension ref="A1:B24"/>
  <sheetViews>
    <sheetView tabSelected="1" workbookViewId="0">
      <selection activeCell="A28" sqref="A28"/>
    </sheetView>
  </sheetViews>
  <sheetFormatPr defaultRowHeight="14.4"/>
  <cols>
    <col min="1" max="1" width="17.77734375" style="7" customWidth="1"/>
    <col min="2" max="2" width="8.88671875" style="7" customWidth="1"/>
  </cols>
  <sheetData>
    <row r="1" spans="1:2" ht="15" thickBot="1">
      <c r="A1" s="6" t="s">
        <v>7</v>
      </c>
    </row>
    <row r="2" spans="1:2" ht="15" thickTop="1">
      <c r="A2" s="7" t="s">
        <v>37</v>
      </c>
      <c r="B2" s="7" t="s">
        <v>38</v>
      </c>
    </row>
    <row r="3" spans="1:2">
      <c r="A3" s="7" t="s">
        <v>34</v>
      </c>
      <c r="B3" s="7" t="s">
        <v>39</v>
      </c>
    </row>
    <row r="4" spans="1:2">
      <c r="A4" s="7" t="s">
        <v>35</v>
      </c>
      <c r="B4" s="7" t="s">
        <v>40</v>
      </c>
    </row>
    <row r="5" spans="1:2">
      <c r="A5" s="7" t="s">
        <v>36</v>
      </c>
      <c r="B5" s="7" t="s">
        <v>26</v>
      </c>
    </row>
    <row r="8" spans="1:2" ht="15" thickBot="1">
      <c r="A8" s="6" t="s">
        <v>27</v>
      </c>
    </row>
    <row r="9" spans="1:2" ht="15" thickTop="1">
      <c r="A9" s="8" t="s">
        <v>16</v>
      </c>
      <c r="B9" s="7" t="s">
        <v>41</v>
      </c>
    </row>
    <row r="10" spans="1:2">
      <c r="A10" s="7" t="s">
        <v>19</v>
      </c>
      <c r="B10" s="7" t="s">
        <v>28</v>
      </c>
    </row>
    <row r="11" spans="1:2">
      <c r="A11" s="7" t="s">
        <v>17</v>
      </c>
      <c r="B11" s="7" t="s">
        <v>29</v>
      </c>
    </row>
    <row r="12" spans="1:2">
      <c r="A12" s="7" t="s">
        <v>18</v>
      </c>
      <c r="B12" s="7" t="s">
        <v>42</v>
      </c>
    </row>
    <row r="13" spans="1:2">
      <c r="A13" s="7" t="s">
        <v>9</v>
      </c>
      <c r="B13" s="7" t="s">
        <v>30</v>
      </c>
    </row>
    <row r="14" spans="1:2">
      <c r="A14" s="7" t="s">
        <v>6</v>
      </c>
      <c r="B14" s="7" t="s">
        <v>43</v>
      </c>
    </row>
    <row r="15" spans="1:2">
      <c r="A15" s="7" t="s">
        <v>10</v>
      </c>
      <c r="B15" s="7" t="s">
        <v>46</v>
      </c>
    </row>
    <row r="16" spans="1:2">
      <c r="A16" s="7" t="s">
        <v>11</v>
      </c>
      <c r="B16" s="7" t="s">
        <v>47</v>
      </c>
    </row>
    <row r="17" spans="1:2">
      <c r="A17" s="7" t="s">
        <v>2</v>
      </c>
      <c r="B17" s="7" t="s">
        <v>48</v>
      </c>
    </row>
    <row r="18" spans="1:2">
      <c r="A18" s="7" t="s">
        <v>22</v>
      </c>
      <c r="B18" s="7" t="s">
        <v>49</v>
      </c>
    </row>
    <row r="19" spans="1:2">
      <c r="A19" s="7" t="s">
        <v>21</v>
      </c>
      <c r="B19" s="7" t="s">
        <v>50</v>
      </c>
    </row>
    <row r="20" spans="1:2">
      <c r="A20" s="7" t="s">
        <v>8</v>
      </c>
      <c r="B20" s="7" t="s">
        <v>44</v>
      </c>
    </row>
    <row r="21" spans="1:2">
      <c r="A21" s="7" t="s">
        <v>20</v>
      </c>
      <c r="B21" s="7" t="s">
        <v>45</v>
      </c>
    </row>
    <row r="22" spans="1:2">
      <c r="A22" s="7" t="s">
        <v>23</v>
      </c>
      <c r="B22" s="7" t="s">
        <v>31</v>
      </c>
    </row>
    <row r="23" spans="1:2">
      <c r="A23" s="7" t="s">
        <v>24</v>
      </c>
      <c r="B23" s="7" t="s">
        <v>32</v>
      </c>
    </row>
    <row r="24" spans="1:2">
      <c r="A24" s="7" t="s">
        <v>25</v>
      </c>
      <c r="B24" s="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D07-61D8-462B-B123-78C297176E43}">
  <dimension ref="A1:J143"/>
  <sheetViews>
    <sheetView topLeftCell="A142" zoomScale="85" zoomScaleNormal="85" workbookViewId="0">
      <selection activeCell="G88" sqref="G88"/>
    </sheetView>
  </sheetViews>
  <sheetFormatPr defaultRowHeight="14.4"/>
  <cols>
    <col min="1" max="1" width="10.77734375" bestFit="1" customWidth="1"/>
    <col min="2" max="2" width="6.5546875" bestFit="1" customWidth="1"/>
    <col min="3" max="3" width="11.33203125" bestFit="1" customWidth="1"/>
    <col min="4" max="4" width="17.77734375" bestFit="1" customWidth="1"/>
    <col min="5" max="5" width="15.88671875" bestFit="1" customWidth="1"/>
    <col min="6" max="6" width="12" bestFit="1" customWidth="1"/>
    <col min="7" max="7" width="11.33203125" bestFit="1" customWidth="1"/>
    <col min="8" max="8" width="12.44140625" bestFit="1" customWidth="1"/>
    <col min="9" max="9" width="15" customWidth="1"/>
    <col min="13" max="13" width="14.77734375" customWidth="1"/>
  </cols>
  <sheetData>
    <row r="1" spans="1:10">
      <c r="A1" t="s">
        <v>16</v>
      </c>
      <c r="B1" t="s">
        <v>19</v>
      </c>
      <c r="C1" t="s">
        <v>9</v>
      </c>
      <c r="D1" t="s">
        <v>8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>
      <c r="A2" t="s">
        <v>12</v>
      </c>
      <c r="B2" t="s">
        <v>17</v>
      </c>
      <c r="C2" t="s">
        <v>6</v>
      </c>
      <c r="D2">
        <v>211.3</v>
      </c>
      <c r="E2">
        <v>14.9</v>
      </c>
    </row>
    <row r="3" spans="1:10">
      <c r="A3" t="s">
        <v>12</v>
      </c>
      <c r="B3" t="s">
        <v>17</v>
      </c>
      <c r="C3" t="s">
        <v>6</v>
      </c>
      <c r="D3">
        <v>178</v>
      </c>
      <c r="E3">
        <v>12.6</v>
      </c>
    </row>
    <row r="4" spans="1:10">
      <c r="A4" t="s">
        <v>12</v>
      </c>
      <c r="B4" t="s">
        <v>17</v>
      </c>
      <c r="C4" t="s">
        <v>6</v>
      </c>
      <c r="D4">
        <v>170.2</v>
      </c>
      <c r="E4">
        <v>11.3</v>
      </c>
    </row>
    <row r="5" spans="1:10">
      <c r="A5" t="s">
        <v>12</v>
      </c>
      <c r="B5" t="s">
        <v>17</v>
      </c>
      <c r="C5" t="s">
        <v>6</v>
      </c>
      <c r="D5">
        <v>354.5</v>
      </c>
      <c r="E5">
        <v>22.2</v>
      </c>
    </row>
    <row r="6" spans="1:10">
      <c r="A6" t="s">
        <v>12</v>
      </c>
      <c r="B6" t="s">
        <v>17</v>
      </c>
      <c r="C6" t="s">
        <v>6</v>
      </c>
      <c r="D6">
        <v>170.6</v>
      </c>
      <c r="H6">
        <v>975.57307740399665</v>
      </c>
      <c r="I6">
        <v>40.046288574462551</v>
      </c>
      <c r="J6">
        <v>0.69441539639244276</v>
      </c>
    </row>
    <row r="7" spans="1:10">
      <c r="A7" t="s">
        <v>12</v>
      </c>
      <c r="B7" t="s">
        <v>17</v>
      </c>
      <c r="C7" t="s">
        <v>6</v>
      </c>
      <c r="D7">
        <v>149.19999999999999</v>
      </c>
      <c r="H7">
        <v>9159.9740584964748</v>
      </c>
      <c r="I7">
        <v>37.505139090284118</v>
      </c>
      <c r="J7">
        <v>0.61717248499363575</v>
      </c>
    </row>
    <row r="8" spans="1:10">
      <c r="A8" t="s">
        <v>12</v>
      </c>
      <c r="B8" t="s">
        <v>17</v>
      </c>
      <c r="C8" t="s">
        <v>6</v>
      </c>
      <c r="D8">
        <v>154.9</v>
      </c>
      <c r="H8">
        <v>1360.2941011539083</v>
      </c>
      <c r="I8">
        <v>36.861846208578356</v>
      </c>
      <c r="J8">
        <v>1.1637270337098029</v>
      </c>
    </row>
    <row r="9" spans="1:10">
      <c r="A9" t="s">
        <v>12</v>
      </c>
      <c r="B9" t="s">
        <v>17</v>
      </c>
      <c r="C9" t="s">
        <v>6</v>
      </c>
      <c r="D9">
        <v>399.1</v>
      </c>
      <c r="H9">
        <v>1371.0613278284434</v>
      </c>
      <c r="I9">
        <v>62.301107954575635</v>
      </c>
    </row>
    <row r="10" spans="1:10">
      <c r="A10" t="s">
        <v>12</v>
      </c>
      <c r="B10" t="s">
        <v>17</v>
      </c>
      <c r="C10" t="s">
        <v>6</v>
      </c>
      <c r="D10">
        <v>274.89999999999998</v>
      </c>
      <c r="H10">
        <v>843.15560999840045</v>
      </c>
      <c r="I10">
        <v>43.469002867070216</v>
      </c>
    </row>
    <row r="11" spans="1:10">
      <c r="A11" t="s">
        <v>12</v>
      </c>
      <c r="B11" t="s">
        <v>17</v>
      </c>
      <c r="C11" t="s">
        <v>10</v>
      </c>
      <c r="D11">
        <v>176.2</v>
      </c>
      <c r="E11">
        <v>12.5</v>
      </c>
      <c r="F11">
        <v>0.34</v>
      </c>
    </row>
    <row r="12" spans="1:10">
      <c r="A12" t="s">
        <v>12</v>
      </c>
      <c r="B12" t="s">
        <v>17</v>
      </c>
      <c r="C12" t="s">
        <v>10</v>
      </c>
      <c r="D12">
        <v>283.10000000000002</v>
      </c>
      <c r="E12">
        <v>19.399999999999999</v>
      </c>
      <c r="F12">
        <v>0.49</v>
      </c>
    </row>
    <row r="13" spans="1:10">
      <c r="A13" t="s">
        <v>12</v>
      </c>
      <c r="B13" t="s">
        <v>17</v>
      </c>
      <c r="C13" t="s">
        <v>10</v>
      </c>
      <c r="D13">
        <v>174.3</v>
      </c>
      <c r="E13">
        <v>11.5</v>
      </c>
      <c r="F13">
        <v>0.59</v>
      </c>
    </row>
    <row r="14" spans="1:10">
      <c r="A14" t="s">
        <v>12</v>
      </c>
      <c r="B14" t="s">
        <v>17</v>
      </c>
      <c r="C14" t="s">
        <v>10</v>
      </c>
      <c r="D14">
        <v>147.19999999999999</v>
      </c>
      <c r="E14">
        <v>11.7</v>
      </c>
    </row>
    <row r="15" spans="1:10">
      <c r="A15" t="s">
        <v>12</v>
      </c>
      <c r="B15" t="s">
        <v>17</v>
      </c>
      <c r="C15" t="s">
        <v>10</v>
      </c>
      <c r="D15">
        <v>238.4</v>
      </c>
      <c r="F15">
        <v>0.38</v>
      </c>
      <c r="H15">
        <v>2121.5995695844044</v>
      </c>
      <c r="I15">
        <v>28.646482468861123</v>
      </c>
      <c r="J15">
        <v>1.520457760999917</v>
      </c>
    </row>
    <row r="16" spans="1:10">
      <c r="A16" t="s">
        <v>12</v>
      </c>
      <c r="B16" t="s">
        <v>17</v>
      </c>
      <c r="C16" t="s">
        <v>10</v>
      </c>
      <c r="D16">
        <v>151.69999999999999</v>
      </c>
    </row>
    <row r="17" spans="1:10">
      <c r="A17" t="s">
        <v>12</v>
      </c>
      <c r="B17" t="s">
        <v>17</v>
      </c>
      <c r="C17" t="s">
        <v>10</v>
      </c>
      <c r="D17">
        <v>158</v>
      </c>
      <c r="F17">
        <v>0.3</v>
      </c>
      <c r="H17">
        <v>4258.5607440687572</v>
      </c>
      <c r="I17">
        <v>51.902039000128127</v>
      </c>
      <c r="J17">
        <v>6.5261738790023669</v>
      </c>
    </row>
    <row r="18" spans="1:10">
      <c r="A18" t="s">
        <v>12</v>
      </c>
      <c r="B18" t="s">
        <v>17</v>
      </c>
      <c r="C18" t="s">
        <v>10</v>
      </c>
      <c r="D18">
        <v>342.4</v>
      </c>
      <c r="F18">
        <v>0.3</v>
      </c>
      <c r="H18">
        <v>1359.0247870096616</v>
      </c>
      <c r="I18">
        <v>45.070762060093017</v>
      </c>
      <c r="J18">
        <v>1.8933284418827145</v>
      </c>
    </row>
    <row r="19" spans="1:10">
      <c r="A19" t="s">
        <v>12</v>
      </c>
      <c r="B19" t="s">
        <v>17</v>
      </c>
      <c r="C19" t="s">
        <v>10</v>
      </c>
      <c r="D19">
        <v>246.3</v>
      </c>
      <c r="F19">
        <v>0.6</v>
      </c>
      <c r="H19">
        <v>1719.1108928861595</v>
      </c>
      <c r="I19">
        <v>43.803554039211889</v>
      </c>
      <c r="J19">
        <v>3.1944593764770879</v>
      </c>
    </row>
    <row r="20" spans="1:10">
      <c r="A20" t="s">
        <v>12</v>
      </c>
      <c r="B20" t="s">
        <v>17</v>
      </c>
      <c r="C20" t="s">
        <v>11</v>
      </c>
      <c r="D20">
        <v>407</v>
      </c>
      <c r="E20">
        <v>8.6</v>
      </c>
      <c r="G20">
        <v>8</v>
      </c>
    </row>
    <row r="21" spans="1:10">
      <c r="A21" t="s">
        <v>12</v>
      </c>
      <c r="B21" t="s">
        <v>17</v>
      </c>
      <c r="C21" t="s">
        <v>11</v>
      </c>
      <c r="D21">
        <v>207.9</v>
      </c>
      <c r="E21">
        <v>26.3</v>
      </c>
      <c r="G21">
        <v>7</v>
      </c>
    </row>
    <row r="22" spans="1:10">
      <c r="A22" t="s">
        <v>12</v>
      </c>
      <c r="B22" t="s">
        <v>17</v>
      </c>
      <c r="C22" t="s">
        <v>11</v>
      </c>
      <c r="D22">
        <v>265.60000000000002</v>
      </c>
      <c r="E22">
        <v>15.5</v>
      </c>
      <c r="G22">
        <v>9</v>
      </c>
    </row>
    <row r="23" spans="1:10">
      <c r="A23" t="s">
        <v>12</v>
      </c>
      <c r="B23" t="s">
        <v>17</v>
      </c>
      <c r="C23" t="s">
        <v>11</v>
      </c>
      <c r="E23">
        <v>17.8</v>
      </c>
      <c r="G23">
        <v>9</v>
      </c>
    </row>
    <row r="24" spans="1:10">
      <c r="A24" t="s">
        <v>12</v>
      </c>
      <c r="B24" t="s">
        <v>17</v>
      </c>
      <c r="C24" t="s">
        <v>11</v>
      </c>
      <c r="D24">
        <v>129.69999999999999</v>
      </c>
      <c r="G24">
        <v>6</v>
      </c>
      <c r="H24">
        <v>707.33754905707349</v>
      </c>
      <c r="I24">
        <v>108.20464648650189</v>
      </c>
      <c r="J24">
        <v>0.74403015672101014</v>
      </c>
    </row>
    <row r="25" spans="1:10">
      <c r="A25" t="s">
        <v>12</v>
      </c>
      <c r="B25" t="s">
        <v>17</v>
      </c>
      <c r="C25" t="s">
        <v>11</v>
      </c>
      <c r="D25">
        <v>284.60000000000002</v>
      </c>
      <c r="G25">
        <v>4</v>
      </c>
      <c r="H25">
        <v>989.9217020071751</v>
      </c>
      <c r="I25">
        <v>53.453038165211304</v>
      </c>
      <c r="J25">
        <v>0.56116996683131426</v>
      </c>
    </row>
    <row r="26" spans="1:10">
      <c r="A26" t="s">
        <v>12</v>
      </c>
      <c r="B26" t="s">
        <v>17</v>
      </c>
      <c r="C26" t="s">
        <v>11</v>
      </c>
      <c r="D26">
        <v>245.8</v>
      </c>
      <c r="G26">
        <v>7</v>
      </c>
      <c r="H26">
        <v>3706.642622711181</v>
      </c>
      <c r="I26">
        <v>63.338660462691706</v>
      </c>
      <c r="J26">
        <v>0.48383973163495664</v>
      </c>
    </row>
    <row r="27" spans="1:10">
      <c r="A27" t="s">
        <v>12</v>
      </c>
      <c r="B27" t="s">
        <v>17</v>
      </c>
      <c r="C27" t="s">
        <v>11</v>
      </c>
      <c r="D27">
        <v>253</v>
      </c>
      <c r="G27">
        <v>8</v>
      </c>
      <c r="H27">
        <v>2282.5029563079506</v>
      </c>
      <c r="I27">
        <v>72.489110501559097</v>
      </c>
      <c r="J27">
        <v>0.58253886693969348</v>
      </c>
    </row>
    <row r="28" spans="1:10">
      <c r="A28" t="s">
        <v>12</v>
      </c>
      <c r="B28" t="s">
        <v>17</v>
      </c>
      <c r="C28" t="s">
        <v>11</v>
      </c>
      <c r="D28">
        <v>168.5</v>
      </c>
      <c r="G28">
        <v>3</v>
      </c>
      <c r="H28">
        <v>961.5936529909626</v>
      </c>
      <c r="I28">
        <v>54.12017954679488</v>
      </c>
      <c r="J28">
        <v>0.88376311276609254</v>
      </c>
    </row>
    <row r="29" spans="1:10">
      <c r="A29" t="s">
        <v>12</v>
      </c>
      <c r="B29" t="s">
        <v>17</v>
      </c>
      <c r="C29" t="s">
        <v>2</v>
      </c>
      <c r="D29">
        <v>207.8</v>
      </c>
      <c r="E29">
        <v>11.1</v>
      </c>
      <c r="F29">
        <v>0.39</v>
      </c>
      <c r="G29">
        <v>5</v>
      </c>
    </row>
    <row r="30" spans="1:10">
      <c r="A30" t="s">
        <v>12</v>
      </c>
      <c r="B30" t="s">
        <v>17</v>
      </c>
      <c r="C30" t="s">
        <v>2</v>
      </c>
      <c r="D30">
        <v>116.7</v>
      </c>
      <c r="E30">
        <v>9.1999999999999993</v>
      </c>
      <c r="F30">
        <v>0.41</v>
      </c>
      <c r="G30">
        <v>11</v>
      </c>
    </row>
    <row r="31" spans="1:10">
      <c r="A31" t="s">
        <v>12</v>
      </c>
      <c r="B31" t="s">
        <v>17</v>
      </c>
      <c r="C31" t="s">
        <v>2</v>
      </c>
      <c r="D31">
        <v>182.2</v>
      </c>
      <c r="E31">
        <v>12.7</v>
      </c>
      <c r="F31">
        <v>0.49</v>
      </c>
      <c r="G31">
        <v>10</v>
      </c>
    </row>
    <row r="32" spans="1:10">
      <c r="A32" t="s">
        <v>12</v>
      </c>
      <c r="B32" t="s">
        <v>17</v>
      </c>
      <c r="C32" t="s">
        <v>2</v>
      </c>
      <c r="D32">
        <v>225.9</v>
      </c>
      <c r="E32">
        <v>16.100000000000001</v>
      </c>
      <c r="F32">
        <v>0.63</v>
      </c>
      <c r="G32">
        <v>10</v>
      </c>
    </row>
    <row r="33" spans="1:10">
      <c r="A33" t="s">
        <v>12</v>
      </c>
      <c r="B33" t="s">
        <v>17</v>
      </c>
      <c r="C33" t="s">
        <v>2</v>
      </c>
      <c r="D33">
        <v>122.2</v>
      </c>
      <c r="F33">
        <v>0.67</v>
      </c>
      <c r="G33">
        <v>6</v>
      </c>
      <c r="H33">
        <v>4651.0902450693593</v>
      </c>
      <c r="I33">
        <v>55.511096296211832</v>
      </c>
      <c r="J33">
        <v>0.72225544703561206</v>
      </c>
    </row>
    <row r="34" spans="1:10">
      <c r="A34" t="s">
        <v>12</v>
      </c>
      <c r="B34" t="s">
        <v>17</v>
      </c>
      <c r="C34" t="s">
        <v>2</v>
      </c>
      <c r="D34">
        <v>120.4</v>
      </c>
      <c r="F34">
        <v>0.7</v>
      </c>
      <c r="G34">
        <v>6</v>
      </c>
      <c r="H34">
        <v>3798.1085763108881</v>
      </c>
      <c r="I34">
        <v>81.595817303810492</v>
      </c>
      <c r="J34">
        <v>1.0817086118111487</v>
      </c>
    </row>
    <row r="35" spans="1:10">
      <c r="A35" t="s">
        <v>12</v>
      </c>
      <c r="B35" t="s">
        <v>17</v>
      </c>
      <c r="C35" t="s">
        <v>2</v>
      </c>
      <c r="D35">
        <v>198.1</v>
      </c>
      <c r="F35">
        <v>0.61</v>
      </c>
      <c r="G35">
        <v>5</v>
      </c>
      <c r="H35">
        <v>5271.496974767043</v>
      </c>
      <c r="I35">
        <v>82.119513695569026</v>
      </c>
      <c r="J35">
        <v>1.0613961022357707</v>
      </c>
    </row>
    <row r="36" spans="1:10" ht="13.8" customHeight="1">
      <c r="A36" t="s">
        <v>12</v>
      </c>
      <c r="B36" t="s">
        <v>17</v>
      </c>
      <c r="C36" t="s">
        <v>2</v>
      </c>
      <c r="D36">
        <v>181.7</v>
      </c>
      <c r="F36">
        <v>0.65</v>
      </c>
      <c r="G36">
        <v>13</v>
      </c>
      <c r="H36">
        <v>3231.4116058456539</v>
      </c>
      <c r="I36">
        <v>143.48092468048407</v>
      </c>
      <c r="J36">
        <v>1.031580688492832</v>
      </c>
    </row>
    <row r="37" spans="1:10">
      <c r="A37" t="s">
        <v>12</v>
      </c>
      <c r="B37" t="s">
        <v>17</v>
      </c>
      <c r="C37" t="s">
        <v>2</v>
      </c>
      <c r="D37">
        <v>201.6</v>
      </c>
      <c r="F37">
        <v>0.45</v>
      </c>
      <c r="G37">
        <v>13</v>
      </c>
      <c r="H37">
        <v>2807.6561710862907</v>
      </c>
      <c r="I37">
        <v>82.769857245284072</v>
      </c>
      <c r="J37">
        <v>1.1551902830806227</v>
      </c>
    </row>
    <row r="38" spans="1:10">
      <c r="A38" t="s">
        <v>13</v>
      </c>
      <c r="B38" t="s">
        <v>17</v>
      </c>
      <c r="C38" t="s">
        <v>6</v>
      </c>
      <c r="D38">
        <v>226.6</v>
      </c>
      <c r="E38">
        <v>14.7</v>
      </c>
    </row>
    <row r="39" spans="1:10">
      <c r="A39" t="s">
        <v>13</v>
      </c>
      <c r="B39" t="s">
        <v>17</v>
      </c>
      <c r="C39" t="s">
        <v>6</v>
      </c>
      <c r="D39">
        <v>344.3</v>
      </c>
      <c r="E39">
        <v>22.3</v>
      </c>
    </row>
    <row r="40" spans="1:10">
      <c r="A40" t="s">
        <v>13</v>
      </c>
      <c r="B40" t="s">
        <v>17</v>
      </c>
      <c r="C40" t="s">
        <v>6</v>
      </c>
      <c r="D40">
        <v>406.4</v>
      </c>
      <c r="E40">
        <v>26.9</v>
      </c>
    </row>
    <row r="41" spans="1:10">
      <c r="A41" t="s">
        <v>13</v>
      </c>
      <c r="B41" t="s">
        <v>17</v>
      </c>
      <c r="C41" t="s">
        <v>6</v>
      </c>
      <c r="D41">
        <v>134.1</v>
      </c>
      <c r="E41">
        <v>6.4</v>
      </c>
    </row>
    <row r="42" spans="1:10">
      <c r="A42" t="s">
        <v>13</v>
      </c>
      <c r="B42" t="s">
        <v>17</v>
      </c>
      <c r="C42" t="s">
        <v>6</v>
      </c>
      <c r="D42">
        <v>106.2</v>
      </c>
      <c r="H42">
        <v>681.90612391363345</v>
      </c>
      <c r="I42">
        <v>63.142925244776755</v>
      </c>
      <c r="J42">
        <v>2.2558384114019714</v>
      </c>
    </row>
    <row r="43" spans="1:10">
      <c r="A43" t="s">
        <v>13</v>
      </c>
      <c r="B43" t="s">
        <v>17</v>
      </c>
      <c r="C43" t="s">
        <v>6</v>
      </c>
      <c r="D43">
        <v>219</v>
      </c>
      <c r="H43">
        <v>3007.0790967316866</v>
      </c>
      <c r="I43">
        <v>41.633994006636172</v>
      </c>
      <c r="J43">
        <v>0.59909366131524289</v>
      </c>
    </row>
    <row r="44" spans="1:10">
      <c r="A44" t="s">
        <v>13</v>
      </c>
      <c r="B44" t="s">
        <v>17</v>
      </c>
      <c r="C44" t="s">
        <v>6</v>
      </c>
      <c r="D44">
        <v>164.8</v>
      </c>
      <c r="H44">
        <v>4796.4650330852983</v>
      </c>
      <c r="I44">
        <v>80.753966105169269</v>
      </c>
      <c r="J44">
        <v>6.0204620422688029</v>
      </c>
    </row>
    <row r="45" spans="1:10">
      <c r="A45" t="s">
        <v>13</v>
      </c>
      <c r="B45" t="s">
        <v>17</v>
      </c>
      <c r="C45" t="s">
        <v>6</v>
      </c>
      <c r="D45">
        <v>153.6</v>
      </c>
      <c r="H45">
        <v>1817.1408292733429</v>
      </c>
      <c r="I45">
        <v>70.422046901554452</v>
      </c>
      <c r="J45">
        <v>10.343082670218596</v>
      </c>
    </row>
    <row r="46" spans="1:10">
      <c r="A46" t="s">
        <v>13</v>
      </c>
      <c r="B46" t="s">
        <v>17</v>
      </c>
      <c r="C46" t="s">
        <v>6</v>
      </c>
      <c r="D46">
        <v>183.4</v>
      </c>
      <c r="H46">
        <v>2170.9102308428905</v>
      </c>
      <c r="I46">
        <v>46.306772751729341</v>
      </c>
      <c r="J46">
        <v>1.8079124581063739</v>
      </c>
    </row>
    <row r="47" spans="1:10">
      <c r="A47" t="s">
        <v>13</v>
      </c>
      <c r="B47" t="s">
        <v>17</v>
      </c>
      <c r="C47" t="s">
        <v>10</v>
      </c>
      <c r="D47">
        <v>261.7</v>
      </c>
      <c r="E47">
        <v>18.399999999999999</v>
      </c>
      <c r="F47">
        <v>0.37</v>
      </c>
    </row>
    <row r="48" spans="1:10">
      <c r="A48" t="s">
        <v>13</v>
      </c>
      <c r="B48" t="s">
        <v>17</v>
      </c>
      <c r="C48" t="s">
        <v>10</v>
      </c>
      <c r="D48">
        <v>160</v>
      </c>
      <c r="E48">
        <v>6.6</v>
      </c>
      <c r="F48">
        <v>0.5</v>
      </c>
    </row>
    <row r="49" spans="1:10">
      <c r="A49" t="s">
        <v>13</v>
      </c>
      <c r="B49" t="s">
        <v>17</v>
      </c>
      <c r="C49" t="s">
        <v>10</v>
      </c>
      <c r="D49">
        <v>172.5</v>
      </c>
      <c r="E49">
        <v>11.1</v>
      </c>
      <c r="F49">
        <v>0.2</v>
      </c>
    </row>
    <row r="50" spans="1:10">
      <c r="A50" t="s">
        <v>13</v>
      </c>
      <c r="B50" t="s">
        <v>17</v>
      </c>
      <c r="C50" t="s">
        <v>10</v>
      </c>
      <c r="D50">
        <v>147.80000000000001</v>
      </c>
      <c r="E50">
        <v>14.7</v>
      </c>
      <c r="F50">
        <v>0.28999999999999998</v>
      </c>
    </row>
    <row r="51" spans="1:10">
      <c r="A51" t="s">
        <v>13</v>
      </c>
      <c r="B51" t="s">
        <v>17</v>
      </c>
      <c r="C51" t="s">
        <v>10</v>
      </c>
      <c r="D51">
        <v>187.3</v>
      </c>
      <c r="I51">
        <v>42.395141057946745</v>
      </c>
      <c r="J51">
        <v>0.95622144324168701</v>
      </c>
    </row>
    <row r="52" spans="1:10">
      <c r="A52" t="s">
        <v>13</v>
      </c>
      <c r="B52" t="s">
        <v>17</v>
      </c>
      <c r="C52" t="s">
        <v>10</v>
      </c>
      <c r="D52">
        <v>154.30000000000001</v>
      </c>
      <c r="F52">
        <v>0.08</v>
      </c>
      <c r="H52">
        <v>1506.8128846783129</v>
      </c>
      <c r="I52">
        <v>50.895417721209398</v>
      </c>
      <c r="J52">
        <v>2.4351884133100841</v>
      </c>
    </row>
    <row r="53" spans="1:10">
      <c r="A53" t="s">
        <v>13</v>
      </c>
      <c r="B53" t="s">
        <v>17</v>
      </c>
      <c r="C53" t="s">
        <v>10</v>
      </c>
      <c r="D53">
        <v>169.9</v>
      </c>
      <c r="F53">
        <v>0.34</v>
      </c>
      <c r="H53">
        <v>2851.8548197690448</v>
      </c>
      <c r="I53">
        <v>53.437144515924764</v>
      </c>
      <c r="J53">
        <v>3.8065983493248856</v>
      </c>
    </row>
    <row r="54" spans="1:10">
      <c r="A54" t="s">
        <v>13</v>
      </c>
      <c r="B54" t="s">
        <v>17</v>
      </c>
      <c r="C54" t="s">
        <v>10</v>
      </c>
      <c r="D54">
        <v>64.099999999999994</v>
      </c>
      <c r="F54">
        <v>0.56999999999999995</v>
      </c>
      <c r="H54">
        <v>8209.8806029888092</v>
      </c>
      <c r="I54">
        <v>106.67468374585651</v>
      </c>
    </row>
    <row r="55" spans="1:10">
      <c r="A55" t="s">
        <v>13</v>
      </c>
      <c r="B55" t="s">
        <v>17</v>
      </c>
      <c r="C55" t="s">
        <v>10</v>
      </c>
      <c r="D55">
        <v>210.3</v>
      </c>
      <c r="F55">
        <v>0.42</v>
      </c>
      <c r="H55">
        <v>5159.8966562360802</v>
      </c>
      <c r="I55">
        <v>52.425460247539846</v>
      </c>
      <c r="J55">
        <v>6.6026178823925603</v>
      </c>
    </row>
    <row r="56" spans="1:10">
      <c r="A56" t="s">
        <v>13</v>
      </c>
      <c r="B56" t="s">
        <v>17</v>
      </c>
      <c r="C56" t="s">
        <v>11</v>
      </c>
      <c r="D56">
        <v>185.9</v>
      </c>
      <c r="E56">
        <v>9.1999999999999993</v>
      </c>
      <c r="G56">
        <v>9</v>
      </c>
    </row>
    <row r="57" spans="1:10">
      <c r="A57" t="s">
        <v>13</v>
      </c>
      <c r="B57" t="s">
        <v>17</v>
      </c>
      <c r="C57" t="s">
        <v>11</v>
      </c>
      <c r="D57">
        <v>167.5</v>
      </c>
      <c r="E57">
        <v>10.3</v>
      </c>
      <c r="G57">
        <v>14</v>
      </c>
    </row>
    <row r="58" spans="1:10">
      <c r="A58" t="s">
        <v>13</v>
      </c>
      <c r="B58" t="s">
        <v>17</v>
      </c>
      <c r="C58" t="s">
        <v>11</v>
      </c>
      <c r="D58">
        <v>167.5</v>
      </c>
      <c r="E58">
        <v>11.1</v>
      </c>
      <c r="G58">
        <v>10</v>
      </c>
    </row>
    <row r="59" spans="1:10">
      <c r="A59" t="s">
        <v>13</v>
      </c>
      <c r="B59" t="s">
        <v>17</v>
      </c>
      <c r="C59" t="s">
        <v>11</v>
      </c>
      <c r="D59">
        <v>133.80000000000001</v>
      </c>
      <c r="E59">
        <v>9.9</v>
      </c>
      <c r="G59">
        <v>8</v>
      </c>
    </row>
    <row r="60" spans="1:10">
      <c r="A60" t="s">
        <v>13</v>
      </c>
      <c r="B60" t="s">
        <v>17</v>
      </c>
      <c r="C60" t="s">
        <v>11</v>
      </c>
      <c r="D60">
        <v>183.8</v>
      </c>
      <c r="G60">
        <v>10</v>
      </c>
      <c r="H60">
        <v>384.86925781328995</v>
      </c>
      <c r="I60">
        <v>69.25151159832356</v>
      </c>
      <c r="J60">
        <v>0.88640058283972778</v>
      </c>
    </row>
    <row r="61" spans="1:10">
      <c r="A61" t="s">
        <v>13</v>
      </c>
      <c r="B61" t="s">
        <v>17</v>
      </c>
      <c r="C61" t="s">
        <v>11</v>
      </c>
      <c r="D61">
        <v>125.2</v>
      </c>
      <c r="G61">
        <v>8</v>
      </c>
      <c r="H61">
        <v>704.01687101439188</v>
      </c>
      <c r="I61">
        <v>119.39063424079205</v>
      </c>
      <c r="J61">
        <v>0.62796339846665239</v>
      </c>
    </row>
    <row r="62" spans="1:10">
      <c r="A62" t="s">
        <v>13</v>
      </c>
      <c r="B62" t="s">
        <v>17</v>
      </c>
      <c r="C62" t="s">
        <v>11</v>
      </c>
      <c r="D62">
        <v>151.19999999999999</v>
      </c>
      <c r="G62">
        <v>10</v>
      </c>
      <c r="H62">
        <v>689.19398610435383</v>
      </c>
      <c r="I62">
        <v>109.37984791291214</v>
      </c>
      <c r="J62">
        <v>1.8209312873532975</v>
      </c>
    </row>
    <row r="63" spans="1:10">
      <c r="A63" t="s">
        <v>13</v>
      </c>
      <c r="B63" t="s">
        <v>17</v>
      </c>
      <c r="C63" t="s">
        <v>11</v>
      </c>
      <c r="D63">
        <v>215</v>
      </c>
      <c r="G63">
        <v>12</v>
      </c>
      <c r="H63">
        <v>1841.1647336609628</v>
      </c>
      <c r="I63">
        <v>93.169699988019161</v>
      </c>
      <c r="J63">
        <v>0.56515242475221372</v>
      </c>
    </row>
    <row r="64" spans="1:10">
      <c r="A64" t="s">
        <v>13</v>
      </c>
      <c r="B64" t="s">
        <v>17</v>
      </c>
      <c r="C64" t="s">
        <v>11</v>
      </c>
      <c r="D64">
        <v>175</v>
      </c>
      <c r="G64">
        <v>14</v>
      </c>
      <c r="H64">
        <v>1243.3643726983048</v>
      </c>
      <c r="I64">
        <v>116.87811102698515</v>
      </c>
      <c r="J64">
        <v>3.3160314139717499</v>
      </c>
    </row>
    <row r="65" spans="1:10">
      <c r="A65" t="s">
        <v>13</v>
      </c>
      <c r="B65" t="s">
        <v>17</v>
      </c>
      <c r="C65" t="s">
        <v>2</v>
      </c>
      <c r="D65">
        <v>192.9</v>
      </c>
      <c r="E65">
        <v>14.8</v>
      </c>
      <c r="F65">
        <v>0.41</v>
      </c>
      <c r="G65">
        <v>13</v>
      </c>
    </row>
    <row r="66" spans="1:10">
      <c r="A66" t="s">
        <v>13</v>
      </c>
      <c r="B66" t="s">
        <v>17</v>
      </c>
      <c r="C66" t="s">
        <v>2</v>
      </c>
      <c r="D66">
        <v>109.7</v>
      </c>
      <c r="E66">
        <v>9.6999999999999993</v>
      </c>
      <c r="F66">
        <v>0.4</v>
      </c>
      <c r="G66">
        <v>7</v>
      </c>
    </row>
    <row r="67" spans="1:10">
      <c r="A67" t="s">
        <v>13</v>
      </c>
      <c r="B67" t="s">
        <v>17</v>
      </c>
      <c r="C67" t="s">
        <v>2</v>
      </c>
      <c r="D67">
        <v>104.9</v>
      </c>
      <c r="E67">
        <v>9.1</v>
      </c>
      <c r="F67">
        <v>0.4</v>
      </c>
      <c r="G67">
        <v>16</v>
      </c>
    </row>
    <row r="68" spans="1:10">
      <c r="A68" t="s">
        <v>13</v>
      </c>
      <c r="B68" t="s">
        <v>17</v>
      </c>
      <c r="C68" t="s">
        <v>2</v>
      </c>
      <c r="D68">
        <v>182.9</v>
      </c>
      <c r="E68">
        <v>13.8</v>
      </c>
      <c r="F68">
        <v>0.47</v>
      </c>
      <c r="G68">
        <v>10</v>
      </c>
    </row>
    <row r="69" spans="1:10">
      <c r="A69" t="s">
        <v>13</v>
      </c>
      <c r="B69" t="s">
        <v>17</v>
      </c>
      <c r="C69" t="s">
        <v>2</v>
      </c>
      <c r="D69">
        <v>115.1</v>
      </c>
      <c r="F69">
        <v>0.43</v>
      </c>
      <c r="G69">
        <v>14</v>
      </c>
      <c r="H69">
        <v>2493.3265433632032</v>
      </c>
      <c r="I69">
        <v>112.58723360800616</v>
      </c>
      <c r="J69">
        <v>3.1420884907339763</v>
      </c>
    </row>
    <row r="70" spans="1:10">
      <c r="A70" t="s">
        <v>13</v>
      </c>
      <c r="B70" t="s">
        <v>17</v>
      </c>
      <c r="C70" t="s">
        <v>2</v>
      </c>
      <c r="D70">
        <v>210.3</v>
      </c>
      <c r="F70">
        <v>0.44</v>
      </c>
      <c r="G70">
        <v>5</v>
      </c>
      <c r="H70">
        <v>2250.0124569885347</v>
      </c>
      <c r="I70">
        <v>51.384110315644662</v>
      </c>
      <c r="J70">
        <v>2.0281364665769663</v>
      </c>
    </row>
    <row r="71" spans="1:10">
      <c r="A71" t="s">
        <v>13</v>
      </c>
      <c r="B71" t="s">
        <v>17</v>
      </c>
      <c r="C71" t="s">
        <v>2</v>
      </c>
      <c r="D71">
        <v>91.4</v>
      </c>
      <c r="F71">
        <v>0.49</v>
      </c>
      <c r="G71">
        <v>7</v>
      </c>
      <c r="H71">
        <v>6473.7836871156605</v>
      </c>
      <c r="I71">
        <v>117.8967703163466</v>
      </c>
      <c r="J71">
        <v>0.95708587723253924</v>
      </c>
    </row>
    <row r="72" spans="1:10">
      <c r="A72" t="s">
        <v>13</v>
      </c>
      <c r="B72" t="s">
        <v>17</v>
      </c>
      <c r="C72" t="s">
        <v>2</v>
      </c>
      <c r="D72">
        <v>96.1</v>
      </c>
      <c r="F72">
        <v>0.41</v>
      </c>
      <c r="G72">
        <v>13</v>
      </c>
      <c r="H72">
        <v>5622.698371936639</v>
      </c>
      <c r="I72">
        <v>118.96757316993799</v>
      </c>
      <c r="J72">
        <v>5.5976258210814756</v>
      </c>
    </row>
    <row r="73" spans="1:10">
      <c r="A73" t="s">
        <v>13</v>
      </c>
      <c r="B73" t="s">
        <v>17</v>
      </c>
      <c r="C73" t="s">
        <v>2</v>
      </c>
      <c r="D73">
        <v>141.1</v>
      </c>
      <c r="F73">
        <v>0.38</v>
      </c>
      <c r="G73">
        <v>11</v>
      </c>
      <c r="H73">
        <v>2235.3601573176666</v>
      </c>
      <c r="I73">
        <v>88.114156842227217</v>
      </c>
      <c r="J73">
        <v>0.58420037440585937</v>
      </c>
    </row>
    <row r="74" spans="1:10">
      <c r="A74" t="s">
        <v>14</v>
      </c>
      <c r="B74" t="s">
        <v>18</v>
      </c>
      <c r="C74" t="s">
        <v>6</v>
      </c>
      <c r="D74">
        <v>177.7</v>
      </c>
      <c r="E74">
        <v>14.1</v>
      </c>
    </row>
    <row r="75" spans="1:10">
      <c r="A75" t="s">
        <v>14</v>
      </c>
      <c r="B75" t="s">
        <v>18</v>
      </c>
      <c r="C75" t="s">
        <v>6</v>
      </c>
      <c r="D75">
        <v>196.8</v>
      </c>
      <c r="E75">
        <v>15.1</v>
      </c>
    </row>
    <row r="76" spans="1:10">
      <c r="A76" t="s">
        <v>14</v>
      </c>
      <c r="B76" t="s">
        <v>18</v>
      </c>
      <c r="C76" t="s">
        <v>6</v>
      </c>
      <c r="D76">
        <v>271.5</v>
      </c>
      <c r="E76">
        <v>17.8</v>
      </c>
    </row>
    <row r="77" spans="1:10">
      <c r="A77" t="s">
        <v>14</v>
      </c>
      <c r="B77" t="s">
        <v>18</v>
      </c>
      <c r="C77" t="s">
        <v>6</v>
      </c>
      <c r="D77">
        <v>164.6</v>
      </c>
      <c r="E77">
        <v>10.9</v>
      </c>
    </row>
    <row r="78" spans="1:10">
      <c r="A78" t="s">
        <v>14</v>
      </c>
      <c r="B78" t="s">
        <v>18</v>
      </c>
      <c r="C78" t="s">
        <v>6</v>
      </c>
      <c r="D78">
        <v>239.6</v>
      </c>
      <c r="H78">
        <v>2372.1418453894589</v>
      </c>
      <c r="I78">
        <v>67.605991826138762</v>
      </c>
      <c r="J78">
        <v>1.7108009455486661</v>
      </c>
    </row>
    <row r="79" spans="1:10">
      <c r="A79" t="s">
        <v>14</v>
      </c>
      <c r="B79" t="s">
        <v>18</v>
      </c>
      <c r="C79" t="s">
        <v>6</v>
      </c>
      <c r="D79">
        <v>395.9</v>
      </c>
      <c r="H79">
        <v>1387.9898483475256</v>
      </c>
      <c r="I79">
        <v>62.706561322585522</v>
      </c>
      <c r="J79">
        <v>1.5197729740625312</v>
      </c>
    </row>
    <row r="80" spans="1:10">
      <c r="A80" t="s">
        <v>14</v>
      </c>
      <c r="B80" t="s">
        <v>18</v>
      </c>
      <c r="C80" t="s">
        <v>6</v>
      </c>
      <c r="D80">
        <v>207.1</v>
      </c>
      <c r="H80">
        <v>1882.8793386570092</v>
      </c>
      <c r="I80">
        <v>55.9743603790713</v>
      </c>
      <c r="J80">
        <v>4.0984929826213836</v>
      </c>
    </row>
    <row r="81" spans="1:10">
      <c r="A81" t="s">
        <v>14</v>
      </c>
      <c r="B81" t="s">
        <v>18</v>
      </c>
      <c r="C81" t="s">
        <v>6</v>
      </c>
      <c r="D81">
        <v>111.3</v>
      </c>
      <c r="H81">
        <v>2477.593818373146</v>
      </c>
      <c r="I81">
        <v>71.890043008831313</v>
      </c>
      <c r="J81">
        <v>3.804289885977246</v>
      </c>
    </row>
    <row r="82" spans="1:10">
      <c r="A82" t="s">
        <v>14</v>
      </c>
      <c r="B82" t="s">
        <v>18</v>
      </c>
      <c r="C82" t="s">
        <v>10</v>
      </c>
      <c r="D82">
        <v>221.4</v>
      </c>
      <c r="E82">
        <v>16.3</v>
      </c>
      <c r="F82">
        <v>7.0000000000000007E-2</v>
      </c>
    </row>
    <row r="83" spans="1:10">
      <c r="A83" t="s">
        <v>14</v>
      </c>
      <c r="B83" t="s">
        <v>18</v>
      </c>
      <c r="C83" t="s">
        <v>10</v>
      </c>
      <c r="D83">
        <v>166.4</v>
      </c>
      <c r="E83">
        <v>12</v>
      </c>
      <c r="F83">
        <v>0.47</v>
      </c>
    </row>
    <row r="84" spans="1:10">
      <c r="A84" t="s">
        <v>14</v>
      </c>
      <c r="B84" t="s">
        <v>18</v>
      </c>
      <c r="C84" t="s">
        <v>10</v>
      </c>
      <c r="D84">
        <v>113.3</v>
      </c>
      <c r="E84">
        <v>8.1999999999999993</v>
      </c>
      <c r="F84">
        <v>0.4</v>
      </c>
    </row>
    <row r="85" spans="1:10">
      <c r="A85" t="s">
        <v>14</v>
      </c>
      <c r="B85" t="s">
        <v>18</v>
      </c>
      <c r="C85" t="s">
        <v>10</v>
      </c>
      <c r="D85">
        <v>170.9</v>
      </c>
      <c r="E85">
        <v>12.6</v>
      </c>
      <c r="F85">
        <v>0.5</v>
      </c>
    </row>
    <row r="86" spans="1:10">
      <c r="A86" t="s">
        <v>14</v>
      </c>
      <c r="B86" t="s">
        <v>18</v>
      </c>
      <c r="C86" t="s">
        <v>10</v>
      </c>
      <c r="D86">
        <v>164.7</v>
      </c>
      <c r="F86">
        <v>0.28999999999999998</v>
      </c>
      <c r="H86">
        <v>1487.9997541398361</v>
      </c>
      <c r="I86">
        <v>65.773773980524965</v>
      </c>
      <c r="J86">
        <v>6.6097014414506958</v>
      </c>
    </row>
    <row r="87" spans="1:10">
      <c r="A87" t="s">
        <v>14</v>
      </c>
      <c r="B87" t="s">
        <v>18</v>
      </c>
      <c r="C87" t="s">
        <v>10</v>
      </c>
      <c r="D87">
        <v>228.1</v>
      </c>
      <c r="F87">
        <v>0.4</v>
      </c>
      <c r="H87">
        <v>1780.4679427681806</v>
      </c>
      <c r="I87">
        <v>76.605876339523888</v>
      </c>
      <c r="J87">
        <v>1.9133696719261981</v>
      </c>
    </row>
    <row r="88" spans="1:10">
      <c r="A88" t="s">
        <v>14</v>
      </c>
      <c r="B88" t="s">
        <v>18</v>
      </c>
      <c r="C88" t="s">
        <v>10</v>
      </c>
      <c r="D88">
        <v>365.1</v>
      </c>
      <c r="F88">
        <v>0.31</v>
      </c>
      <c r="H88">
        <v>944.4033681220626</v>
      </c>
      <c r="I88">
        <v>73.65314404975129</v>
      </c>
      <c r="J88">
        <v>4.1518868858206739</v>
      </c>
    </row>
    <row r="89" spans="1:10">
      <c r="A89" t="s">
        <v>14</v>
      </c>
      <c r="B89" t="s">
        <v>18</v>
      </c>
      <c r="C89" t="s">
        <v>10</v>
      </c>
      <c r="D89">
        <v>168.2</v>
      </c>
      <c r="F89">
        <v>0.49</v>
      </c>
      <c r="H89">
        <v>2609.3460545051503</v>
      </c>
      <c r="I89">
        <v>100.66295379929028</v>
      </c>
      <c r="J89">
        <v>3.9978739200547744</v>
      </c>
    </row>
    <row r="90" spans="1:10">
      <c r="A90" t="s">
        <v>14</v>
      </c>
      <c r="B90" t="s">
        <v>18</v>
      </c>
      <c r="C90" t="s">
        <v>10</v>
      </c>
      <c r="D90">
        <v>253.1</v>
      </c>
      <c r="F90">
        <v>0.73</v>
      </c>
      <c r="H90">
        <v>1190.6769269586862</v>
      </c>
      <c r="I90">
        <v>68.179696100377257</v>
      </c>
      <c r="J90">
        <v>3.8839970100565413</v>
      </c>
    </row>
    <row r="91" spans="1:10">
      <c r="A91" t="s">
        <v>14</v>
      </c>
      <c r="B91" t="s">
        <v>18</v>
      </c>
      <c r="C91" t="s">
        <v>11</v>
      </c>
      <c r="D91">
        <v>138.6</v>
      </c>
      <c r="E91">
        <v>9.6</v>
      </c>
      <c r="G91">
        <v>18</v>
      </c>
    </row>
    <row r="92" spans="1:10">
      <c r="A92" t="s">
        <v>14</v>
      </c>
      <c r="B92" t="s">
        <v>18</v>
      </c>
      <c r="C92" t="s">
        <v>11</v>
      </c>
      <c r="D92">
        <v>306.5</v>
      </c>
      <c r="E92">
        <v>22</v>
      </c>
      <c r="G92">
        <v>15</v>
      </c>
    </row>
    <row r="93" spans="1:10">
      <c r="A93" t="s">
        <v>14</v>
      </c>
      <c r="B93" t="s">
        <v>18</v>
      </c>
      <c r="C93" t="s">
        <v>11</v>
      </c>
      <c r="D93">
        <v>142.4</v>
      </c>
      <c r="E93">
        <v>11.4</v>
      </c>
      <c r="G93">
        <v>6</v>
      </c>
    </row>
    <row r="94" spans="1:10">
      <c r="A94" t="s">
        <v>14</v>
      </c>
      <c r="B94" t="s">
        <v>18</v>
      </c>
      <c r="C94" t="s">
        <v>11</v>
      </c>
      <c r="D94">
        <v>231.3</v>
      </c>
      <c r="E94">
        <v>18.3</v>
      </c>
      <c r="G94">
        <v>8</v>
      </c>
    </row>
    <row r="95" spans="1:10">
      <c r="A95" t="s">
        <v>14</v>
      </c>
      <c r="B95" t="s">
        <v>18</v>
      </c>
      <c r="C95" t="s">
        <v>11</v>
      </c>
      <c r="D95">
        <v>84.8</v>
      </c>
      <c r="G95">
        <v>15</v>
      </c>
      <c r="H95">
        <v>615.90198319717774</v>
      </c>
      <c r="I95">
        <v>134.11626215087603</v>
      </c>
      <c r="J95">
        <v>1.3261642664439628</v>
      </c>
    </row>
    <row r="96" spans="1:10">
      <c r="A96" t="s">
        <v>14</v>
      </c>
      <c r="B96" t="s">
        <v>18</v>
      </c>
      <c r="C96" t="s">
        <v>11</v>
      </c>
      <c r="D96">
        <v>163</v>
      </c>
      <c r="G96">
        <v>9</v>
      </c>
      <c r="H96">
        <v>1008.2228406631775</v>
      </c>
      <c r="I96">
        <v>86.596666758160211</v>
      </c>
      <c r="J96">
        <v>3.0520275279469664</v>
      </c>
    </row>
    <row r="97" spans="1:10">
      <c r="A97" t="s">
        <v>14</v>
      </c>
      <c r="B97" t="s">
        <v>18</v>
      </c>
      <c r="C97" t="s">
        <v>11</v>
      </c>
      <c r="D97">
        <v>353.5</v>
      </c>
      <c r="G97">
        <v>13</v>
      </c>
      <c r="H97">
        <v>5616.7465408744765</v>
      </c>
      <c r="I97">
        <v>103.66541211437756</v>
      </c>
      <c r="J97">
        <v>1.2485378962124669</v>
      </c>
    </row>
    <row r="98" spans="1:10">
      <c r="A98" t="s">
        <v>14</v>
      </c>
      <c r="B98" t="s">
        <v>18</v>
      </c>
      <c r="C98" t="s">
        <v>11</v>
      </c>
      <c r="D98">
        <v>149.19999999999999</v>
      </c>
      <c r="G98">
        <v>12</v>
      </c>
    </row>
    <row r="99" spans="1:10">
      <c r="A99" t="s">
        <v>14</v>
      </c>
      <c r="B99" t="s">
        <v>18</v>
      </c>
      <c r="C99" t="s">
        <v>11</v>
      </c>
      <c r="D99">
        <v>174.7</v>
      </c>
      <c r="G99">
        <v>11</v>
      </c>
      <c r="H99">
        <v>8108.3968514758508</v>
      </c>
      <c r="I99">
        <v>94.142303640326972</v>
      </c>
      <c r="J99">
        <v>3.505244217569905</v>
      </c>
    </row>
    <row r="100" spans="1:10">
      <c r="A100" t="s">
        <v>14</v>
      </c>
      <c r="B100" t="s">
        <v>18</v>
      </c>
      <c r="C100" t="s">
        <v>2</v>
      </c>
      <c r="D100">
        <v>174.3</v>
      </c>
      <c r="E100" s="5">
        <v>11.6</v>
      </c>
      <c r="F100">
        <v>0.4</v>
      </c>
      <c r="G100">
        <v>7</v>
      </c>
    </row>
    <row r="101" spans="1:10">
      <c r="A101" t="s">
        <v>14</v>
      </c>
      <c r="B101" t="s">
        <v>18</v>
      </c>
      <c r="C101" t="s">
        <v>2</v>
      </c>
      <c r="D101">
        <v>122.7</v>
      </c>
      <c r="E101">
        <v>11.1</v>
      </c>
      <c r="F101">
        <v>0.46</v>
      </c>
      <c r="G101">
        <v>10</v>
      </c>
    </row>
    <row r="102" spans="1:10">
      <c r="A102" t="s">
        <v>14</v>
      </c>
      <c r="B102" t="s">
        <v>18</v>
      </c>
      <c r="C102" t="s">
        <v>2</v>
      </c>
      <c r="D102">
        <v>405</v>
      </c>
      <c r="E102">
        <v>30.2</v>
      </c>
      <c r="G102">
        <v>13</v>
      </c>
    </row>
    <row r="103" spans="1:10">
      <c r="A103" t="s">
        <v>14</v>
      </c>
      <c r="B103" t="s">
        <v>18</v>
      </c>
      <c r="C103" t="s">
        <v>2</v>
      </c>
      <c r="D103">
        <v>235.5</v>
      </c>
      <c r="E103">
        <v>19.100000000000001</v>
      </c>
      <c r="F103">
        <v>0.72</v>
      </c>
      <c r="G103">
        <v>13</v>
      </c>
    </row>
    <row r="104" spans="1:10">
      <c r="A104" t="s">
        <v>14</v>
      </c>
      <c r="B104" t="s">
        <v>18</v>
      </c>
      <c r="C104" t="s">
        <v>2</v>
      </c>
      <c r="D104">
        <v>117.6</v>
      </c>
      <c r="F104">
        <v>0.27</v>
      </c>
      <c r="G104">
        <v>15</v>
      </c>
      <c r="H104">
        <v>4055.0907896076342</v>
      </c>
      <c r="I104">
        <v>170.16272345321792</v>
      </c>
      <c r="J104">
        <v>3.293596501955983</v>
      </c>
    </row>
    <row r="105" spans="1:10">
      <c r="A105" t="s">
        <v>14</v>
      </c>
      <c r="B105" t="s">
        <v>18</v>
      </c>
      <c r="C105" t="s">
        <v>2</v>
      </c>
      <c r="D105">
        <v>202.8</v>
      </c>
      <c r="F105">
        <v>0.38</v>
      </c>
      <c r="G105">
        <v>9</v>
      </c>
      <c r="H105">
        <v>4112.9505615005792</v>
      </c>
      <c r="I105">
        <v>95.201567369525677</v>
      </c>
      <c r="J105">
        <v>2.8832703807760547</v>
      </c>
    </row>
    <row r="106" spans="1:10">
      <c r="A106" t="s">
        <v>14</v>
      </c>
      <c r="B106" t="s">
        <v>18</v>
      </c>
      <c r="C106" t="s">
        <v>2</v>
      </c>
      <c r="D106">
        <v>217.7</v>
      </c>
      <c r="F106">
        <v>0.45</v>
      </c>
      <c r="G106">
        <v>9</v>
      </c>
      <c r="H106">
        <v>7496.5063511237795</v>
      </c>
      <c r="I106">
        <v>85.130277672215684</v>
      </c>
      <c r="J106">
        <v>5.1415324391767481</v>
      </c>
    </row>
    <row r="107" spans="1:10">
      <c r="A107" t="s">
        <v>14</v>
      </c>
      <c r="B107" t="s">
        <v>18</v>
      </c>
      <c r="C107" t="s">
        <v>2</v>
      </c>
      <c r="D107">
        <v>127.1</v>
      </c>
      <c r="F107">
        <v>0.53</v>
      </c>
      <c r="G107">
        <v>7</v>
      </c>
      <c r="H107">
        <v>4441.2486299926895</v>
      </c>
      <c r="I107">
        <v>95.685363392360458</v>
      </c>
      <c r="J107">
        <v>0.60012260105532955</v>
      </c>
    </row>
    <row r="108" spans="1:10">
      <c r="A108" t="s">
        <v>14</v>
      </c>
      <c r="B108" t="s">
        <v>18</v>
      </c>
      <c r="C108" t="s">
        <v>2</v>
      </c>
      <c r="D108">
        <v>244</v>
      </c>
      <c r="F108">
        <v>0.51</v>
      </c>
      <c r="G108">
        <v>6</v>
      </c>
      <c r="H108">
        <v>7883.4749040657789</v>
      </c>
      <c r="I108">
        <v>80.026090606661612</v>
      </c>
      <c r="J108">
        <v>6.9525395918375494</v>
      </c>
    </row>
    <row r="109" spans="1:10">
      <c r="A109" t="s">
        <v>15</v>
      </c>
      <c r="B109" t="s">
        <v>18</v>
      </c>
      <c r="C109" t="s">
        <v>6</v>
      </c>
      <c r="D109">
        <v>230.6</v>
      </c>
      <c r="E109">
        <v>16.7</v>
      </c>
    </row>
    <row r="110" spans="1:10">
      <c r="A110" t="s">
        <v>15</v>
      </c>
      <c r="B110" t="s">
        <v>18</v>
      </c>
      <c r="C110" t="s">
        <v>6</v>
      </c>
      <c r="D110">
        <v>253.7</v>
      </c>
      <c r="E110">
        <v>18.600000000000001</v>
      </c>
    </row>
    <row r="111" spans="1:10">
      <c r="A111" t="s">
        <v>15</v>
      </c>
      <c r="B111" t="s">
        <v>18</v>
      </c>
      <c r="C111" t="s">
        <v>6</v>
      </c>
      <c r="D111">
        <v>408.9</v>
      </c>
      <c r="E111">
        <v>29.6</v>
      </c>
    </row>
    <row r="112" spans="1:10">
      <c r="A112" t="s">
        <v>15</v>
      </c>
      <c r="B112" t="s">
        <v>18</v>
      </c>
      <c r="C112" t="s">
        <v>6</v>
      </c>
      <c r="D112">
        <v>260.2</v>
      </c>
      <c r="E112">
        <v>19.2</v>
      </c>
    </row>
    <row r="113" spans="1:10">
      <c r="A113" t="s">
        <v>15</v>
      </c>
      <c r="B113" t="s">
        <v>18</v>
      </c>
      <c r="C113" t="s">
        <v>6</v>
      </c>
      <c r="D113">
        <v>259.2</v>
      </c>
      <c r="H113">
        <v>2180.4179431463131</v>
      </c>
      <c r="I113">
        <v>61.885530193419569</v>
      </c>
      <c r="J113">
        <v>2.5701593025714158</v>
      </c>
    </row>
    <row r="114" spans="1:10">
      <c r="A114" t="s">
        <v>15</v>
      </c>
      <c r="B114" t="s">
        <v>18</v>
      </c>
      <c r="C114" t="s">
        <v>6</v>
      </c>
      <c r="D114">
        <v>254</v>
      </c>
      <c r="H114">
        <v>2401.5188366604539</v>
      </c>
      <c r="I114">
        <v>101.94334543607948</v>
      </c>
      <c r="J114">
        <v>5.7604329031815764</v>
      </c>
    </row>
    <row r="115" spans="1:10">
      <c r="A115" t="s">
        <v>15</v>
      </c>
      <c r="B115" t="s">
        <v>18</v>
      </c>
      <c r="C115" t="s">
        <v>6</v>
      </c>
      <c r="D115">
        <v>249.6</v>
      </c>
      <c r="H115">
        <v>4276.7334897648807</v>
      </c>
      <c r="I115">
        <v>93.485792841242599</v>
      </c>
      <c r="J115">
        <v>3.6393175747956916</v>
      </c>
    </row>
    <row r="116" spans="1:10">
      <c r="A116" t="s">
        <v>15</v>
      </c>
      <c r="B116" t="s">
        <v>18</v>
      </c>
      <c r="C116" t="s">
        <v>6</v>
      </c>
      <c r="D116">
        <v>346</v>
      </c>
      <c r="H116">
        <v>2432.2040457126391</v>
      </c>
      <c r="I116">
        <v>102.2913997514239</v>
      </c>
      <c r="J116">
        <v>6.9642617393453428</v>
      </c>
    </row>
    <row r="117" spans="1:10">
      <c r="A117" t="s">
        <v>15</v>
      </c>
      <c r="B117" t="s">
        <v>18</v>
      </c>
      <c r="C117" t="s">
        <v>10</v>
      </c>
      <c r="D117">
        <v>264.2</v>
      </c>
      <c r="E117">
        <v>20.7</v>
      </c>
      <c r="F117">
        <v>0.64</v>
      </c>
    </row>
    <row r="118" spans="1:10">
      <c r="A118" t="s">
        <v>15</v>
      </c>
      <c r="B118" t="s">
        <v>18</v>
      </c>
      <c r="C118" t="s">
        <v>10</v>
      </c>
      <c r="D118">
        <v>206.1</v>
      </c>
      <c r="E118">
        <v>16.3</v>
      </c>
      <c r="F118">
        <v>0.42</v>
      </c>
    </row>
    <row r="119" spans="1:10">
      <c r="A119" t="s">
        <v>15</v>
      </c>
      <c r="B119" t="s">
        <v>18</v>
      </c>
      <c r="C119" t="s">
        <v>10</v>
      </c>
      <c r="D119">
        <v>176.4</v>
      </c>
      <c r="E119">
        <v>14.5</v>
      </c>
      <c r="F119">
        <v>0.48</v>
      </c>
    </row>
    <row r="120" spans="1:10">
      <c r="A120" t="s">
        <v>15</v>
      </c>
      <c r="B120" t="s">
        <v>18</v>
      </c>
      <c r="C120" t="s">
        <v>10</v>
      </c>
      <c r="D120">
        <v>235.5</v>
      </c>
      <c r="F120">
        <v>0.44</v>
      </c>
      <c r="H120">
        <v>1628.5584679175599</v>
      </c>
      <c r="I120">
        <v>86.77184441889635</v>
      </c>
      <c r="J120">
        <v>6.1019120485580407</v>
      </c>
    </row>
    <row r="121" spans="1:10">
      <c r="A121" t="s">
        <v>15</v>
      </c>
      <c r="B121" t="s">
        <v>18</v>
      </c>
      <c r="C121" t="s">
        <v>10</v>
      </c>
      <c r="D121">
        <v>189</v>
      </c>
      <c r="F121">
        <v>0.42</v>
      </c>
      <c r="H121">
        <v>2557.746814993317</v>
      </c>
      <c r="I121">
        <v>71.498428596809973</v>
      </c>
      <c r="J121">
        <v>5.2250958487970278</v>
      </c>
    </row>
    <row r="122" spans="1:10">
      <c r="A122" t="s">
        <v>15</v>
      </c>
      <c r="B122" t="s">
        <v>18</v>
      </c>
      <c r="C122" t="s">
        <v>10</v>
      </c>
      <c r="D122">
        <v>342</v>
      </c>
      <c r="F122">
        <v>0.48</v>
      </c>
      <c r="H122">
        <v>2167.1007211741407</v>
      </c>
      <c r="I122">
        <v>69.561654587080554</v>
      </c>
      <c r="J122">
        <v>2.346973721025027</v>
      </c>
    </row>
    <row r="123" spans="1:10">
      <c r="A123" t="s">
        <v>15</v>
      </c>
      <c r="B123" t="s">
        <v>18</v>
      </c>
      <c r="C123" t="s">
        <v>10</v>
      </c>
      <c r="D123">
        <v>141.19999999999999</v>
      </c>
      <c r="E123">
        <v>19.100000000000001</v>
      </c>
      <c r="H123">
        <v>1687.626392120374</v>
      </c>
      <c r="I123">
        <v>83.707468693796855</v>
      </c>
      <c r="J123">
        <v>3.5671630429216483</v>
      </c>
    </row>
    <row r="124" spans="1:10">
      <c r="A124" t="s">
        <v>15</v>
      </c>
      <c r="B124" t="s">
        <v>18</v>
      </c>
      <c r="C124" t="s">
        <v>10</v>
      </c>
      <c r="D124">
        <v>238.6</v>
      </c>
      <c r="F124">
        <v>0.43</v>
      </c>
    </row>
    <row r="125" spans="1:10">
      <c r="A125" t="s">
        <v>15</v>
      </c>
      <c r="B125" t="s">
        <v>18</v>
      </c>
      <c r="C125" t="s">
        <v>10</v>
      </c>
      <c r="D125">
        <v>167.2</v>
      </c>
      <c r="F125">
        <v>0.41</v>
      </c>
    </row>
    <row r="126" spans="1:10">
      <c r="A126" t="s">
        <v>15</v>
      </c>
      <c r="B126" t="s">
        <v>18</v>
      </c>
      <c r="C126" t="s">
        <v>11</v>
      </c>
      <c r="D126">
        <v>172.2</v>
      </c>
      <c r="E126">
        <v>15</v>
      </c>
      <c r="G126">
        <v>13</v>
      </c>
    </row>
    <row r="127" spans="1:10">
      <c r="A127" t="s">
        <v>15</v>
      </c>
      <c r="B127" t="s">
        <v>18</v>
      </c>
      <c r="C127" t="s">
        <v>11</v>
      </c>
      <c r="D127">
        <v>175.8</v>
      </c>
      <c r="E127">
        <v>13.4</v>
      </c>
      <c r="G127">
        <v>9</v>
      </c>
    </row>
    <row r="128" spans="1:10">
      <c r="A128" t="s">
        <v>15</v>
      </c>
      <c r="B128" t="s">
        <v>18</v>
      </c>
      <c r="C128" t="s">
        <v>11</v>
      </c>
      <c r="D128">
        <v>169.9</v>
      </c>
      <c r="E128">
        <v>12.5</v>
      </c>
      <c r="G128">
        <v>14</v>
      </c>
    </row>
    <row r="129" spans="1:10">
      <c r="A129" t="s">
        <v>15</v>
      </c>
      <c r="B129" t="s">
        <v>18</v>
      </c>
      <c r="C129" t="s">
        <v>11</v>
      </c>
      <c r="D129">
        <v>186.9</v>
      </c>
      <c r="E129">
        <v>13.5</v>
      </c>
      <c r="G129">
        <v>6</v>
      </c>
    </row>
    <row r="130" spans="1:10">
      <c r="A130" t="s">
        <v>15</v>
      </c>
      <c r="B130" t="s">
        <v>18</v>
      </c>
      <c r="C130" t="s">
        <v>11</v>
      </c>
      <c r="D130">
        <v>226</v>
      </c>
      <c r="G130">
        <v>11</v>
      </c>
      <c r="H130">
        <v>1016.0995784862563</v>
      </c>
      <c r="I130">
        <v>85.138139730677807</v>
      </c>
      <c r="J130">
        <v>2.325565304134996</v>
      </c>
    </row>
    <row r="131" spans="1:10">
      <c r="A131" t="s">
        <v>15</v>
      </c>
      <c r="B131" t="s">
        <v>18</v>
      </c>
      <c r="C131" t="s">
        <v>11</v>
      </c>
      <c r="D131">
        <v>210.2</v>
      </c>
      <c r="G131">
        <v>12</v>
      </c>
      <c r="H131">
        <v>1943.9969943801659</v>
      </c>
      <c r="I131">
        <v>154.98901715256019</v>
      </c>
      <c r="J131">
        <v>7.4253771995086701</v>
      </c>
    </row>
    <row r="132" spans="1:10">
      <c r="A132" t="s">
        <v>15</v>
      </c>
      <c r="B132" t="s">
        <v>18</v>
      </c>
      <c r="C132" t="s">
        <v>11</v>
      </c>
      <c r="D132">
        <v>235.9</v>
      </c>
      <c r="G132">
        <v>8</v>
      </c>
      <c r="H132">
        <v>2604.0200303228376</v>
      </c>
      <c r="I132">
        <v>80.704006397506902</v>
      </c>
      <c r="J132">
        <v>3.8931268401133368</v>
      </c>
    </row>
    <row r="133" spans="1:10">
      <c r="A133" t="s">
        <v>15</v>
      </c>
      <c r="B133" t="s">
        <v>18</v>
      </c>
      <c r="C133" t="s">
        <v>11</v>
      </c>
      <c r="D133">
        <v>160.19999999999999</v>
      </c>
      <c r="G133">
        <v>14</v>
      </c>
      <c r="H133">
        <v>2348.9558201992795</v>
      </c>
      <c r="I133">
        <v>102.77337005956454</v>
      </c>
      <c r="J133">
        <v>2.9233421875159782</v>
      </c>
    </row>
    <row r="134" spans="1:10">
      <c r="A134" t="s">
        <v>15</v>
      </c>
      <c r="B134" t="s">
        <v>18</v>
      </c>
      <c r="C134" t="s">
        <v>11</v>
      </c>
      <c r="D134">
        <v>162.30000000000001</v>
      </c>
      <c r="G134">
        <v>7</v>
      </c>
      <c r="H134">
        <v>7437.9993730551014</v>
      </c>
      <c r="I134">
        <v>95.476799888868612</v>
      </c>
      <c r="J134">
        <v>2.8560424865524032</v>
      </c>
    </row>
    <row r="135" spans="1:10">
      <c r="A135" t="s">
        <v>15</v>
      </c>
      <c r="B135" t="s">
        <v>18</v>
      </c>
      <c r="C135" t="s">
        <v>2</v>
      </c>
      <c r="D135">
        <v>129.19999999999999</v>
      </c>
      <c r="E135">
        <v>10.4</v>
      </c>
      <c r="F135">
        <v>0.5</v>
      </c>
      <c r="G135">
        <v>8</v>
      </c>
    </row>
    <row r="136" spans="1:10">
      <c r="A136" t="s">
        <v>15</v>
      </c>
      <c r="B136" t="s">
        <v>18</v>
      </c>
      <c r="C136" t="s">
        <v>2</v>
      </c>
      <c r="D136">
        <v>215.2</v>
      </c>
      <c r="E136">
        <v>18.3</v>
      </c>
      <c r="F136">
        <v>0.38</v>
      </c>
      <c r="G136">
        <v>9</v>
      </c>
    </row>
    <row r="137" spans="1:10">
      <c r="A137" t="s">
        <v>15</v>
      </c>
      <c r="B137" t="s">
        <v>18</v>
      </c>
      <c r="C137" t="s">
        <v>2</v>
      </c>
      <c r="D137">
        <v>228.4</v>
      </c>
      <c r="E137">
        <v>17.600000000000001</v>
      </c>
      <c r="F137">
        <v>0.44</v>
      </c>
      <c r="G137">
        <v>18</v>
      </c>
    </row>
    <row r="138" spans="1:10">
      <c r="A138" t="s">
        <v>15</v>
      </c>
      <c r="B138" t="s">
        <v>18</v>
      </c>
      <c r="C138" t="s">
        <v>2</v>
      </c>
      <c r="D138">
        <v>230.6</v>
      </c>
      <c r="E138">
        <v>16</v>
      </c>
      <c r="F138">
        <v>0.42</v>
      </c>
      <c r="G138">
        <v>7</v>
      </c>
    </row>
    <row r="139" spans="1:10">
      <c r="A139" t="s">
        <v>15</v>
      </c>
      <c r="B139" t="s">
        <v>18</v>
      </c>
      <c r="C139" t="s">
        <v>2</v>
      </c>
      <c r="D139">
        <v>144.30000000000001</v>
      </c>
      <c r="F139">
        <v>0.39</v>
      </c>
      <c r="G139">
        <v>8</v>
      </c>
      <c r="H139">
        <v>13244.13763108292</v>
      </c>
      <c r="I139">
        <v>65.632976848365814</v>
      </c>
      <c r="J139">
        <v>2.1464294604023459</v>
      </c>
    </row>
    <row r="140" spans="1:10">
      <c r="A140" t="s">
        <v>15</v>
      </c>
      <c r="B140" t="s">
        <v>18</v>
      </c>
      <c r="C140" t="s">
        <v>2</v>
      </c>
      <c r="D140">
        <v>231.7</v>
      </c>
      <c r="F140">
        <v>0.45</v>
      </c>
      <c r="G140">
        <v>11</v>
      </c>
      <c r="H140">
        <v>3328.5185979252847</v>
      </c>
      <c r="I140">
        <v>90.514730169153552</v>
      </c>
      <c r="J140">
        <v>4.500077736022325</v>
      </c>
    </row>
    <row r="141" spans="1:10">
      <c r="A141" t="s">
        <v>15</v>
      </c>
      <c r="B141" t="s">
        <v>18</v>
      </c>
      <c r="C141" t="s">
        <v>2</v>
      </c>
      <c r="D141">
        <v>247.7</v>
      </c>
      <c r="F141">
        <v>0.46</v>
      </c>
      <c r="G141">
        <v>13</v>
      </c>
      <c r="H141">
        <v>1771.5745008101346</v>
      </c>
      <c r="I141">
        <v>113.10263261963652</v>
      </c>
      <c r="J141">
        <v>4.5640847215753846</v>
      </c>
    </row>
    <row r="142" spans="1:10">
      <c r="A142" t="s">
        <v>15</v>
      </c>
      <c r="B142" t="s">
        <v>18</v>
      </c>
      <c r="C142" t="s">
        <v>2</v>
      </c>
      <c r="D142">
        <v>123.3</v>
      </c>
      <c r="F142">
        <v>0.49</v>
      </c>
      <c r="G142">
        <v>6</v>
      </c>
      <c r="H142">
        <v>3047.7937790384503</v>
      </c>
      <c r="I142">
        <v>93.967653523509441</v>
      </c>
      <c r="J142">
        <v>3.5445030327189011</v>
      </c>
    </row>
    <row r="143" spans="1:10">
      <c r="A143" t="s">
        <v>15</v>
      </c>
      <c r="B143" t="s">
        <v>18</v>
      </c>
      <c r="C143" t="s">
        <v>2</v>
      </c>
      <c r="D143">
        <v>289.39999999999998</v>
      </c>
      <c r="F143">
        <v>0.4</v>
      </c>
      <c r="G143">
        <v>14</v>
      </c>
      <c r="H143">
        <v>2663.1549706365913</v>
      </c>
      <c r="I143">
        <v>96.513700446714864</v>
      </c>
      <c r="J143">
        <v>3.2362535811227224</v>
      </c>
    </row>
  </sheetData>
  <autoFilter ref="A1:H143" xr:uid="{E857C470-AC1B-4AED-96A0-EF17FB3261C9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127D-CBBD-4861-B86C-F51E926D663E}">
  <dimension ref="A2:O27"/>
  <sheetViews>
    <sheetView workbookViewId="0">
      <selection activeCell="B21" sqref="B21"/>
    </sheetView>
  </sheetViews>
  <sheetFormatPr defaultRowHeight="14.4"/>
  <sheetData>
    <row r="2" spans="1:15">
      <c r="B2" t="s">
        <v>4</v>
      </c>
      <c r="C2" t="s">
        <v>5</v>
      </c>
      <c r="F2" t="s">
        <v>4</v>
      </c>
      <c r="G2" t="s">
        <v>5</v>
      </c>
      <c r="J2" t="s">
        <v>4</v>
      </c>
      <c r="K2" t="s">
        <v>5</v>
      </c>
      <c r="N2" t="s">
        <v>4</v>
      </c>
      <c r="O2" t="s">
        <v>5</v>
      </c>
    </row>
    <row r="3" spans="1:15">
      <c r="A3" t="s">
        <v>6</v>
      </c>
      <c r="B3" s="2">
        <v>980.3</v>
      </c>
      <c r="C3" s="2">
        <v>497.8</v>
      </c>
      <c r="E3" t="s">
        <v>0</v>
      </c>
      <c r="F3" s="2">
        <v>1166.2</v>
      </c>
      <c r="G3" s="2">
        <v>560.1</v>
      </c>
      <c r="I3" t="s">
        <v>1</v>
      </c>
      <c r="J3" s="2">
        <v>400.6</v>
      </c>
      <c r="K3" s="2">
        <v>564.6</v>
      </c>
      <c r="M3" t="s">
        <v>2</v>
      </c>
      <c r="N3" s="2">
        <v>705</v>
      </c>
      <c r="O3" s="2">
        <v>809.5</v>
      </c>
    </row>
    <row r="4" spans="1:15">
      <c r="B4" s="2">
        <v>841.7</v>
      </c>
      <c r="C4" s="2">
        <v>793.5</v>
      </c>
      <c r="F4" s="2">
        <v>521.5</v>
      </c>
      <c r="G4" s="2">
        <v>705.6</v>
      </c>
      <c r="J4" s="2">
        <v>365</v>
      </c>
      <c r="K4" s="3">
        <v>525</v>
      </c>
      <c r="N4" s="2">
        <v>206.1</v>
      </c>
      <c r="O4" s="2">
        <v>619.5</v>
      </c>
    </row>
    <row r="5" spans="1:15">
      <c r="B5" s="2">
        <v>259</v>
      </c>
      <c r="C5" s="2">
        <v>538.9</v>
      </c>
      <c r="F5" s="2">
        <v>514.79999999999995</v>
      </c>
      <c r="G5" s="2">
        <v>784.9</v>
      </c>
      <c r="J5" s="2">
        <v>563.4</v>
      </c>
      <c r="K5" s="2">
        <v>635.70000000000005</v>
      </c>
      <c r="N5" s="2">
        <v>312.5</v>
      </c>
      <c r="O5" s="2">
        <v>418.4</v>
      </c>
    </row>
    <row r="6" spans="1:15">
      <c r="B6" s="1">
        <v>630.4</v>
      </c>
      <c r="C6" s="1">
        <v>604.4</v>
      </c>
      <c r="F6" s="2">
        <v>852.1</v>
      </c>
      <c r="G6" s="2">
        <v>734.3</v>
      </c>
      <c r="J6" s="2">
        <v>810.3</v>
      </c>
      <c r="K6" s="2">
        <v>815</v>
      </c>
      <c r="N6" s="2">
        <v>777.4</v>
      </c>
      <c r="O6" s="2">
        <v>482.2</v>
      </c>
    </row>
    <row r="7" spans="1:15">
      <c r="B7" s="1">
        <v>464.6</v>
      </c>
      <c r="C7" s="1">
        <v>703.8</v>
      </c>
      <c r="F7" s="2">
        <v>415.3</v>
      </c>
      <c r="G7" s="2">
        <v>704</v>
      </c>
      <c r="J7" s="2">
        <v>807</v>
      </c>
      <c r="K7" s="2">
        <v>796.5</v>
      </c>
      <c r="N7" s="2">
        <v>656.4</v>
      </c>
      <c r="O7" s="2">
        <v>707.5</v>
      </c>
    </row>
    <row r="8" spans="1:15">
      <c r="B8" s="1">
        <v>340.5</v>
      </c>
      <c r="C8" s="1">
        <v>335.8</v>
      </c>
      <c r="F8" s="2">
        <v>313.2</v>
      </c>
      <c r="G8" s="2">
        <v>780.6</v>
      </c>
      <c r="J8" s="2">
        <v>515.6</v>
      </c>
      <c r="K8" s="2">
        <v>522.9</v>
      </c>
      <c r="N8" s="2">
        <v>569.20000000000005</v>
      </c>
      <c r="O8" s="2">
        <v>719.1</v>
      </c>
    </row>
    <row r="9" spans="1:15">
      <c r="B9" s="2">
        <v>487.2</v>
      </c>
      <c r="C9" s="2">
        <v>858.6</v>
      </c>
      <c r="F9" s="1">
        <v>728.8</v>
      </c>
      <c r="G9" s="1">
        <v>688.5</v>
      </c>
      <c r="J9" s="1">
        <v>525.5</v>
      </c>
      <c r="K9" s="1">
        <v>273.7</v>
      </c>
      <c r="N9" s="1">
        <v>654.70000000000005</v>
      </c>
      <c r="O9" s="1">
        <v>784</v>
      </c>
    </row>
    <row r="10" spans="1:15">
      <c r="B10" s="3">
        <v>475.6</v>
      </c>
      <c r="C10" s="3">
        <v>601.79999999999995</v>
      </c>
      <c r="F10" s="1">
        <v>621.20000000000005</v>
      </c>
      <c r="G10" s="1">
        <v>932.8</v>
      </c>
      <c r="J10" s="1">
        <v>636.5</v>
      </c>
      <c r="K10" s="1">
        <v>628.1</v>
      </c>
      <c r="N10" s="1">
        <v>779.9</v>
      </c>
      <c r="O10" s="1">
        <v>473.4</v>
      </c>
    </row>
    <row r="11" spans="1:15">
      <c r="B11" s="2">
        <v>535.1</v>
      </c>
      <c r="C11" s="2">
        <v>856.4</v>
      </c>
      <c r="F11" s="1">
        <v>464.1</v>
      </c>
      <c r="G11" s="1">
        <v>349.5</v>
      </c>
      <c r="J11" s="1">
        <v>736.7</v>
      </c>
      <c r="K11" s="1">
        <v>462.6</v>
      </c>
      <c r="N11" s="1">
        <v>604.70000000000005</v>
      </c>
      <c r="O11" s="1">
        <v>336.2</v>
      </c>
    </row>
    <row r="12" spans="1:15">
      <c r="B12" s="1">
        <v>433.6</v>
      </c>
      <c r="C12" s="1">
        <v>870.9</v>
      </c>
      <c r="F12" s="1">
        <v>819.9</v>
      </c>
      <c r="G12" s="1">
        <v>579.70000000000005</v>
      </c>
      <c r="J12" s="1">
        <v>918.8</v>
      </c>
      <c r="K12" s="1">
        <v>410.7</v>
      </c>
      <c r="N12" s="1">
        <v>647.79999999999995</v>
      </c>
      <c r="O12" s="1">
        <v>426.3</v>
      </c>
    </row>
    <row r="13" spans="1:15">
      <c r="B13" s="1"/>
      <c r="C13" s="1">
        <v>496.1</v>
      </c>
      <c r="F13" s="1">
        <v>229.9</v>
      </c>
      <c r="G13" s="1">
        <v>335.3</v>
      </c>
      <c r="J13" s="1">
        <v>631.20000000000005</v>
      </c>
      <c r="K13" s="1">
        <v>543.5</v>
      </c>
      <c r="N13" s="1">
        <v>466.8</v>
      </c>
      <c r="O13" s="1">
        <v>1032</v>
      </c>
    </row>
    <row r="14" spans="1:15">
      <c r="B14" s="1">
        <v>679.4</v>
      </c>
      <c r="C14" s="1">
        <v>499.2</v>
      </c>
      <c r="F14" s="2">
        <v>596.9</v>
      </c>
      <c r="G14" s="2">
        <v>440.2</v>
      </c>
      <c r="J14" s="2">
        <v>540.1</v>
      </c>
      <c r="K14" s="2">
        <v>841.2</v>
      </c>
      <c r="N14" s="2">
        <v>336.9</v>
      </c>
      <c r="O14" s="2">
        <v>798.4</v>
      </c>
    </row>
    <row r="15" spans="1:15">
      <c r="B15">
        <f>AVERAGE(B3:B14)</f>
        <v>557.03636363636372</v>
      </c>
      <c r="C15">
        <f>AVERAGE(C3:C14)</f>
        <v>638.1</v>
      </c>
      <c r="F15" s="2">
        <v>671.3</v>
      </c>
      <c r="G15" s="2">
        <v>560.6</v>
      </c>
      <c r="J15" s="2">
        <v>509.3</v>
      </c>
      <c r="K15" s="2">
        <v>449.6</v>
      </c>
      <c r="N15" s="2">
        <v>790</v>
      </c>
      <c r="O15" s="2">
        <v>882.6</v>
      </c>
    </row>
    <row r="16" spans="1:15">
      <c r="F16" s="2">
        <v>765.6</v>
      </c>
      <c r="G16" s="2">
        <v>294.8</v>
      </c>
      <c r="J16" s="2">
        <v>421</v>
      </c>
      <c r="K16" s="2">
        <v>727.4</v>
      </c>
      <c r="N16" s="2">
        <v>667</v>
      </c>
      <c r="O16" s="2">
        <v>1146</v>
      </c>
    </row>
    <row r="17" spans="1:15">
      <c r="F17" s="2">
        <v>832.4</v>
      </c>
      <c r="G17" s="2">
        <v>468.6</v>
      </c>
      <c r="J17" s="2">
        <v>631.4</v>
      </c>
      <c r="K17" s="2">
        <v>291.8</v>
      </c>
      <c r="N17" s="2">
        <v>536.20000000000005</v>
      </c>
      <c r="O17" s="2">
        <v>803.8</v>
      </c>
    </row>
    <row r="18" spans="1:15">
      <c r="F18" s="2">
        <v>379.8</v>
      </c>
      <c r="G18" s="2">
        <v>579.9</v>
      </c>
      <c r="J18" s="2">
        <v>708.2</v>
      </c>
      <c r="K18" s="2">
        <v>624.29999999999995</v>
      </c>
      <c r="N18" s="2">
        <v>617.5</v>
      </c>
      <c r="O18" s="2">
        <v>937.4</v>
      </c>
    </row>
    <row r="19" spans="1:15">
      <c r="F19" s="2">
        <v>696</v>
      </c>
      <c r="G19" s="2">
        <v>668.1</v>
      </c>
      <c r="J19" s="2">
        <v>490.8</v>
      </c>
      <c r="K19" s="2"/>
      <c r="N19" s="2">
        <v>717.7</v>
      </c>
      <c r="O19" s="2">
        <v>889.6</v>
      </c>
    </row>
    <row r="20" spans="1:15">
      <c r="F20" s="1">
        <v>877.6</v>
      </c>
      <c r="G20" s="1">
        <v>745.3</v>
      </c>
      <c r="J20" s="1">
        <v>778.2</v>
      </c>
      <c r="K20" s="1">
        <v>533.1</v>
      </c>
      <c r="N20" s="1">
        <v>779.6</v>
      </c>
      <c r="O20" s="1">
        <v>543.1</v>
      </c>
    </row>
    <row r="21" spans="1:15">
      <c r="F21" s="1">
        <v>613.29999999999995</v>
      </c>
      <c r="G21" s="1">
        <v>688.7</v>
      </c>
      <c r="J21" s="1">
        <v>864.3</v>
      </c>
      <c r="K21" s="1">
        <v>734.6</v>
      </c>
      <c r="N21" s="1">
        <v>410.3</v>
      </c>
      <c r="O21" s="1">
        <v>553.4</v>
      </c>
    </row>
    <row r="22" spans="1:15">
      <c r="F22" s="1">
        <v>623.20000000000005</v>
      </c>
      <c r="G22" s="1">
        <v>825.9</v>
      </c>
      <c r="J22" s="1">
        <v>979.4</v>
      </c>
      <c r="K22" s="1">
        <v>676.4</v>
      </c>
      <c r="N22" s="1">
        <v>412.2</v>
      </c>
      <c r="O22" s="1">
        <v>824.5</v>
      </c>
    </row>
    <row r="23" spans="1:15">
      <c r="F23" s="1">
        <v>476.6</v>
      </c>
      <c r="G23" s="1">
        <v>501.3</v>
      </c>
      <c r="J23" s="1">
        <v>978.1</v>
      </c>
      <c r="K23" s="1">
        <v>417.3</v>
      </c>
      <c r="N23" s="1">
        <v>308.10000000000002</v>
      </c>
      <c r="O23" s="1">
        <v>940.1</v>
      </c>
    </row>
    <row r="24" spans="1:15">
      <c r="F24" s="1">
        <v>604.9</v>
      </c>
      <c r="G24" s="1">
        <v>494.3</v>
      </c>
      <c r="J24" s="1">
        <v>576.70000000000005</v>
      </c>
      <c r="K24" s="1">
        <v>453.5</v>
      </c>
      <c r="N24" s="1">
        <v>675.5</v>
      </c>
      <c r="O24" s="1">
        <v>576.70000000000005</v>
      </c>
    </row>
    <row r="25" spans="1:15">
      <c r="F25">
        <f>AVERAGE(F3:F24)</f>
        <v>626.57272727272721</v>
      </c>
      <c r="G25">
        <f>AVERAGE(G3:G24)</f>
        <v>610.13636363636351</v>
      </c>
      <c r="J25">
        <f>AVERAGE(J3:J24)</f>
        <v>654.00454545454545</v>
      </c>
      <c r="K25">
        <f>AVERAGE(K3:K24)</f>
        <v>567.97619047619048</v>
      </c>
      <c r="N25">
        <f>AVERAGE(N3:N24)</f>
        <v>574.15909090909099</v>
      </c>
      <c r="O25">
        <f>AVERAGE(O3:O24)</f>
        <v>713.8045454545454</v>
      </c>
    </row>
    <row r="27" spans="1:15">
      <c r="A27" t="s">
        <v>3</v>
      </c>
      <c r="B27" s="4">
        <f>TTEST(B3:B14,C3:C14,2,2)</f>
        <v>0.32923017196223947</v>
      </c>
      <c r="F27" s="4">
        <f>TTEST(F3:F24,G3:G24,2,2)</f>
        <v>0.77853293220654463</v>
      </c>
      <c r="J27" s="4">
        <f>TTEST(J3:J24,K3:K24,2,2)</f>
        <v>0.11124743507232286</v>
      </c>
      <c r="N27" s="4">
        <f>TTEST(N3:N24,O3:O24,2,2)</f>
        <v>2.4071976757048079E-2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Abbreviation</vt:lpstr>
      <vt:lpstr>raw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이하령</dc:creator>
  <cp:lastModifiedBy>이하령</cp:lastModifiedBy>
  <cp:lastPrinted>2024-05-23T09:14:26Z</cp:lastPrinted>
  <dcterms:created xsi:type="dcterms:W3CDTF">2024-05-10T00:28:08Z</dcterms:created>
  <dcterms:modified xsi:type="dcterms:W3CDTF">2026-01-28T08:03:21Z</dcterms:modified>
</cp:coreProperties>
</file>