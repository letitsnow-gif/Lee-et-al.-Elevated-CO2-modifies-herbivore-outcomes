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it\Dropbox\Lee et al_Climate change and plant-mediated herbivore interaction\Raw data\"/>
    </mc:Choice>
  </mc:AlternateContent>
  <xr:revisionPtr revIDLastSave="0" documentId="13_ncr:1_{EF95D2FD-8213-4C71-9197-D7C949C40C46}" xr6:coauthVersionLast="36" xr6:coauthVersionMax="36" xr10:uidLastSave="{00000000-0000-0000-0000-000000000000}"/>
  <bookViews>
    <workbookView xWindow="0" yWindow="0" windowWidth="13788" windowHeight="4332" xr2:uid="{ED78E37F-580B-40A3-89B0-1153B8319E5F}"/>
  </bookViews>
  <sheets>
    <sheet name="Abbreviation" sheetId="17" r:id="rId1"/>
    <sheet name="raw data" sheetId="16" r:id="rId2"/>
    <sheet name="Sheet5" sheetId="15" state="hidden" r:id="rId3"/>
  </sheets>
  <definedNames>
    <definedName name="_xlnm._FilterDatabase" localSheetId="1" hidden="1">'raw data'!$B$1:$J$157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5" l="1"/>
  <c r="C15" i="15"/>
  <c r="F25" i="15"/>
  <c r="G25" i="15"/>
  <c r="K25" i="15"/>
  <c r="J25" i="15"/>
  <c r="O25" i="15"/>
  <c r="N25" i="15"/>
  <c r="N27" i="15"/>
  <c r="J27" i="15"/>
  <c r="F27" i="15"/>
  <c r="B27" i="15"/>
</calcChain>
</file>

<file path=xl/sharedStrings.xml><?xml version="1.0" encoding="utf-8"?>
<sst xmlns="http://schemas.openxmlformats.org/spreadsheetml/2006/main" count="533" uniqueCount="51">
  <si>
    <t>SPO</t>
  </si>
  <si>
    <t>GPA</t>
  </si>
  <si>
    <t>both</t>
  </si>
  <si>
    <t>ttest</t>
  </si>
  <si>
    <t>a</t>
  </si>
  <si>
    <t>e</t>
  </si>
  <si>
    <t>ctrl</t>
  </si>
  <si>
    <t>Date</t>
  </si>
  <si>
    <t>plant_drymass</t>
  </si>
  <si>
    <t>plant_freshmass</t>
  </si>
  <si>
    <t>herbivory</t>
  </si>
  <si>
    <t>co2</t>
  </si>
  <si>
    <t>gpa_num</t>
  </si>
  <si>
    <t>spo_mass</t>
  </si>
  <si>
    <t>ac</t>
  </si>
  <si>
    <t>ec</t>
  </si>
  <si>
    <t>spo</t>
  </si>
  <si>
    <t>gpa</t>
  </si>
  <si>
    <t>CO2 treatment</t>
  </si>
  <si>
    <t>Ambient CO2 chamber</t>
  </si>
  <si>
    <t>Herbivory treatment</t>
  </si>
  <si>
    <t>Concentration of jasmonic acid (ng/g)</t>
  </si>
  <si>
    <t>Concentration of salicylic acid (ng/g)</t>
  </si>
  <si>
    <t>Concentration of abscisic acid (ng/g)</t>
  </si>
  <si>
    <t>Abbreviation</t>
  </si>
  <si>
    <t>7 May 2024</t>
  </si>
  <si>
    <t>14 May 2024</t>
  </si>
  <si>
    <t>28 May 2024</t>
  </si>
  <si>
    <t xml:space="preserve">4 June 2024 </t>
  </si>
  <si>
    <t>Sampling</t>
  </si>
  <si>
    <t>chamber</t>
  </si>
  <si>
    <t>ac1</t>
  </si>
  <si>
    <t>ac2</t>
  </si>
  <si>
    <t>ec1</t>
  </si>
  <si>
    <t>ec2</t>
  </si>
  <si>
    <t>ja</t>
  </si>
  <si>
    <t>sa</t>
  </si>
  <si>
    <t>aba</t>
  </si>
  <si>
    <t>Transplanting to pots</t>
  </si>
  <si>
    <t>Initiation of CO2 treatment</t>
  </si>
  <si>
    <t>Initiation of bioassay</t>
  </si>
  <si>
    <t>Elevated CO2 chamber</t>
  </si>
  <si>
    <t>Control (no herbivory)</t>
  </si>
  <si>
    <t>Aboveground plant fresh mass (mg)</t>
  </si>
  <si>
    <t>Aboveground plant dry mass (mg)</t>
  </si>
  <si>
    <t>Individual chamber identity</t>
  </si>
  <si>
    <r>
      <t>Single herbivory (</t>
    </r>
    <r>
      <rPr>
        <i/>
        <sz val="11"/>
        <color theme="1"/>
        <rFont val="Times New Roman"/>
        <family val="1"/>
      </rPr>
      <t>S. litura</t>
    </r>
    <r>
      <rPr>
        <sz val="11"/>
        <color theme="1"/>
        <rFont val="Times New Roman"/>
        <family val="1"/>
      </rPr>
      <t>)</t>
    </r>
  </si>
  <si>
    <r>
      <t>Single herbivory (</t>
    </r>
    <r>
      <rPr>
        <i/>
        <sz val="11"/>
        <color theme="1"/>
        <rFont val="Times New Roman"/>
        <family val="1"/>
      </rPr>
      <t>M. persica</t>
    </r>
    <r>
      <rPr>
        <sz val="11"/>
        <color theme="1"/>
        <rFont val="Times New Roman"/>
        <family val="1"/>
      </rPr>
      <t>e)</t>
    </r>
  </si>
  <si>
    <r>
      <t>Dual herbivory (</t>
    </r>
    <r>
      <rPr>
        <i/>
        <sz val="11"/>
        <color theme="1"/>
        <rFont val="Times New Roman"/>
        <family val="1"/>
      </rPr>
      <t>S. litura</t>
    </r>
    <r>
      <rPr>
        <sz val="11"/>
        <color theme="1"/>
        <rFont val="Times New Roman"/>
        <family val="1"/>
      </rPr>
      <t xml:space="preserve"> + </t>
    </r>
    <r>
      <rPr>
        <i/>
        <sz val="11"/>
        <color theme="1"/>
        <rFont val="Times New Roman"/>
        <family val="1"/>
      </rPr>
      <t>M. persicae</t>
    </r>
    <r>
      <rPr>
        <sz val="11"/>
        <color theme="1"/>
        <rFont val="Times New Roman"/>
        <family val="1"/>
      </rPr>
      <t>)</t>
    </r>
  </si>
  <si>
    <r>
      <rPr>
        <i/>
        <sz val="11"/>
        <color theme="1"/>
        <rFont val="Times New Roman"/>
        <family val="1"/>
      </rPr>
      <t>M. persicae</t>
    </r>
    <r>
      <rPr>
        <sz val="11"/>
        <color theme="1"/>
        <rFont val="Times New Roman"/>
        <family val="1"/>
      </rPr>
      <t xml:space="preserve"> number</t>
    </r>
  </si>
  <si>
    <r>
      <rPr>
        <i/>
        <sz val="11"/>
        <color theme="1"/>
        <rFont val="Times New Roman"/>
        <family val="1"/>
      </rPr>
      <t xml:space="preserve">S. litura </t>
    </r>
    <r>
      <rPr>
        <sz val="11"/>
        <color theme="1"/>
        <rFont val="Times New Roman"/>
        <family val="1"/>
      </rPr>
      <t>larval mass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</si>
</sst>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0" fillId="0" borderId="1" xfId="0" applyFill="1" applyBorder="1"/>
    <xf numFmtId="0" fontId="1" fillId="0" borderId="1" xfId="1" applyFill="1" applyBorder="1"/>
    <xf numFmtId="0" fontId="0" fillId="0" borderId="1" xfId="1" applyFont="1" applyFill="1" applyBorder="1"/>
    <xf numFmtId="0" fontId="1" fillId="3" borderId="0" xfId="2"/>
    <xf numFmtId="0" fontId="2" fillId="0" borderId="2" xfId="0" applyFont="1" applyBorder="1"/>
    <xf numFmtId="0" fontId="2" fillId="0" borderId="0" xfId="0" applyFont="1"/>
    <xf numFmtId="0" fontId="2" fillId="0" borderId="0" xfId="0" applyFont="1" applyBorder="1"/>
  </cellXfs>
  <cellStyles count="3">
    <cellStyle name="20% - 강조색1" xfId="1" builtinId="30"/>
    <cellStyle name="20% - 강조색2" xfId="2" builtinId="34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6247-0E27-4520-9567-08D57D2B119F}">
  <dimension ref="A1:B24"/>
  <sheetViews>
    <sheetView tabSelected="1" workbookViewId="0">
      <selection activeCell="F23" sqref="F23"/>
    </sheetView>
  </sheetViews>
  <sheetFormatPr defaultRowHeight="13.8"/>
  <cols>
    <col min="1" max="1" width="17.77734375" style="6" customWidth="1"/>
    <col min="2" max="5" width="8.88671875" style="6" customWidth="1"/>
    <col min="6" max="16384" width="8.88671875" style="6"/>
  </cols>
  <sheetData>
    <row r="1" spans="1:2" ht="14.4" thickBot="1">
      <c r="A1" s="5" t="s">
        <v>7</v>
      </c>
    </row>
    <row r="2" spans="1:2" ht="14.4" thickTop="1">
      <c r="A2" s="6" t="s">
        <v>25</v>
      </c>
      <c r="B2" s="6" t="s">
        <v>38</v>
      </c>
    </row>
    <row r="3" spans="1:2">
      <c r="A3" s="6" t="s">
        <v>26</v>
      </c>
      <c r="B3" s="6" t="s">
        <v>39</v>
      </c>
    </row>
    <row r="4" spans="1:2">
      <c r="A4" s="6" t="s">
        <v>27</v>
      </c>
      <c r="B4" s="6" t="s">
        <v>40</v>
      </c>
    </row>
    <row r="5" spans="1:2">
      <c r="A5" s="6" t="s">
        <v>28</v>
      </c>
      <c r="B5" s="6" t="s">
        <v>29</v>
      </c>
    </row>
    <row r="8" spans="1:2" ht="14.4" thickBot="1">
      <c r="A8" s="5" t="s">
        <v>24</v>
      </c>
    </row>
    <row r="9" spans="1:2" ht="14.4" thickTop="1">
      <c r="A9" s="7" t="s">
        <v>30</v>
      </c>
      <c r="B9" s="6" t="s">
        <v>45</v>
      </c>
    </row>
    <row r="10" spans="1:2">
      <c r="A10" s="6" t="s">
        <v>11</v>
      </c>
      <c r="B10" s="6" t="s">
        <v>18</v>
      </c>
    </row>
    <row r="11" spans="1:2">
      <c r="A11" s="6" t="s">
        <v>14</v>
      </c>
      <c r="B11" s="6" t="s">
        <v>19</v>
      </c>
    </row>
    <row r="12" spans="1:2">
      <c r="A12" s="6" t="s">
        <v>15</v>
      </c>
      <c r="B12" s="6" t="s">
        <v>41</v>
      </c>
    </row>
    <row r="13" spans="1:2">
      <c r="A13" s="6" t="s">
        <v>10</v>
      </c>
      <c r="B13" s="6" t="s">
        <v>20</v>
      </c>
    </row>
    <row r="14" spans="1:2">
      <c r="A14" s="6" t="s">
        <v>6</v>
      </c>
      <c r="B14" s="6" t="s">
        <v>42</v>
      </c>
    </row>
    <row r="15" spans="1:2">
      <c r="A15" s="6" t="s">
        <v>16</v>
      </c>
      <c r="B15" s="6" t="s">
        <v>46</v>
      </c>
    </row>
    <row r="16" spans="1:2">
      <c r="A16" s="6" t="s">
        <v>17</v>
      </c>
      <c r="B16" s="6" t="s">
        <v>47</v>
      </c>
    </row>
    <row r="17" spans="1:2">
      <c r="A17" s="6" t="s">
        <v>2</v>
      </c>
      <c r="B17" s="6" t="s">
        <v>48</v>
      </c>
    </row>
    <row r="18" spans="1:2">
      <c r="A18" s="6" t="s">
        <v>12</v>
      </c>
      <c r="B18" s="6" t="s">
        <v>49</v>
      </c>
    </row>
    <row r="19" spans="1:2">
      <c r="A19" s="6" t="s">
        <v>13</v>
      </c>
      <c r="B19" s="6" t="s">
        <v>50</v>
      </c>
    </row>
    <row r="20" spans="1:2">
      <c r="A20" s="6" t="s">
        <v>9</v>
      </c>
      <c r="B20" s="6" t="s">
        <v>43</v>
      </c>
    </row>
    <row r="21" spans="1:2">
      <c r="A21" s="6" t="s">
        <v>8</v>
      </c>
      <c r="B21" s="6" t="s">
        <v>44</v>
      </c>
    </row>
    <row r="22" spans="1:2">
      <c r="A22" s="6" t="s">
        <v>35</v>
      </c>
      <c r="B22" s="6" t="s">
        <v>21</v>
      </c>
    </row>
    <row r="23" spans="1:2">
      <c r="A23" s="6" t="s">
        <v>36</v>
      </c>
      <c r="B23" s="6" t="s">
        <v>22</v>
      </c>
    </row>
    <row r="24" spans="1:2">
      <c r="A24" s="6" t="s">
        <v>37</v>
      </c>
      <c r="B24" s="6" t="s">
        <v>23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7D07-61D8-462B-B123-78C297176E43}">
  <dimension ref="A1:J160"/>
  <sheetViews>
    <sheetView zoomScale="85" zoomScaleNormal="85" workbookViewId="0">
      <selection activeCell="K5" sqref="K5"/>
    </sheetView>
  </sheetViews>
  <sheetFormatPr defaultRowHeight="13.8"/>
  <cols>
    <col min="1" max="1" width="8.88671875" style="6"/>
    <col min="2" max="2" width="6.6640625" style="6" bestFit="1" customWidth="1"/>
    <col min="3" max="3" width="11.33203125" style="6" bestFit="1" customWidth="1"/>
    <col min="4" max="4" width="14.44140625" style="6" bestFit="1" customWidth="1"/>
    <col min="5" max="5" width="15" style="6" bestFit="1" customWidth="1"/>
    <col min="6" max="6" width="17.77734375" style="6" bestFit="1" customWidth="1"/>
    <col min="7" max="7" width="15.88671875" style="6" bestFit="1" customWidth="1"/>
    <col min="8" max="10" width="12.44140625" style="6" bestFit="1" customWidth="1"/>
    <col min="11" max="16384" width="8.88671875" style="6"/>
  </cols>
  <sheetData>
    <row r="1" spans="1:10">
      <c r="A1" s="6" t="s">
        <v>30</v>
      </c>
      <c r="B1" s="6" t="s">
        <v>11</v>
      </c>
      <c r="C1" s="6" t="s">
        <v>10</v>
      </c>
      <c r="D1" s="6" t="s">
        <v>12</v>
      </c>
      <c r="E1" s="6" t="s">
        <v>13</v>
      </c>
      <c r="F1" s="6" t="s">
        <v>9</v>
      </c>
      <c r="G1" s="6" t="s">
        <v>8</v>
      </c>
      <c r="H1" s="6" t="s">
        <v>35</v>
      </c>
      <c r="I1" s="6" t="s">
        <v>36</v>
      </c>
      <c r="J1" s="6" t="s">
        <v>37</v>
      </c>
    </row>
    <row r="2" spans="1:10">
      <c r="A2" s="6" t="s">
        <v>31</v>
      </c>
      <c r="B2" s="6" t="s">
        <v>14</v>
      </c>
      <c r="C2" s="6" t="s">
        <v>6</v>
      </c>
      <c r="F2" s="6">
        <v>980.3</v>
      </c>
      <c r="G2" s="6">
        <v>60.6</v>
      </c>
    </row>
    <row r="3" spans="1:10">
      <c r="A3" s="6" t="s">
        <v>31</v>
      </c>
      <c r="B3" s="6" t="s">
        <v>14</v>
      </c>
      <c r="C3" s="6" t="s">
        <v>6</v>
      </c>
      <c r="F3" s="6">
        <v>841.7</v>
      </c>
      <c r="G3" s="6">
        <v>52.6</v>
      </c>
    </row>
    <row r="4" spans="1:10">
      <c r="A4" s="6" t="s">
        <v>31</v>
      </c>
      <c r="B4" s="6" t="s">
        <v>14</v>
      </c>
      <c r="C4" s="6" t="s">
        <v>6</v>
      </c>
      <c r="F4" s="6">
        <v>259</v>
      </c>
      <c r="G4" s="6">
        <v>17.5</v>
      </c>
    </row>
    <row r="5" spans="1:10">
      <c r="A5" s="6" t="s">
        <v>31</v>
      </c>
      <c r="B5" s="6" t="s">
        <v>14</v>
      </c>
      <c r="C5" s="6" t="s">
        <v>6</v>
      </c>
      <c r="F5" s="6">
        <v>630.4</v>
      </c>
      <c r="H5" s="6">
        <v>844.21629448956639</v>
      </c>
      <c r="I5" s="6">
        <v>35.198192605079555</v>
      </c>
      <c r="J5" s="6">
        <v>0.39016074356647396</v>
      </c>
    </row>
    <row r="6" spans="1:10">
      <c r="A6" s="6" t="s">
        <v>31</v>
      </c>
      <c r="B6" s="6" t="s">
        <v>14</v>
      </c>
      <c r="C6" s="6" t="s">
        <v>6</v>
      </c>
      <c r="F6" s="6">
        <v>464.6</v>
      </c>
      <c r="H6" s="6">
        <v>856.42209594484416</v>
      </c>
      <c r="I6" s="6">
        <v>18.487229320643724</v>
      </c>
      <c r="J6" s="6">
        <v>0.3333910048358199</v>
      </c>
    </row>
    <row r="7" spans="1:10">
      <c r="A7" s="6" t="s">
        <v>31</v>
      </c>
      <c r="B7" s="6" t="s">
        <v>14</v>
      </c>
      <c r="C7" s="6" t="s">
        <v>6</v>
      </c>
      <c r="F7" s="6">
        <v>340.5</v>
      </c>
      <c r="H7" s="6">
        <v>1294.1218725960828</v>
      </c>
      <c r="I7" s="6">
        <v>40.408029537908874</v>
      </c>
      <c r="J7" s="6">
        <v>0.58852113206251766</v>
      </c>
    </row>
    <row r="8" spans="1:10">
      <c r="A8" s="6" t="s">
        <v>31</v>
      </c>
      <c r="B8" s="6" t="s">
        <v>14</v>
      </c>
      <c r="C8" s="6" t="s">
        <v>16</v>
      </c>
      <c r="E8" s="6">
        <v>4</v>
      </c>
      <c r="F8" s="6">
        <v>1166.2</v>
      </c>
      <c r="G8" s="6">
        <v>68.8</v>
      </c>
    </row>
    <row r="9" spans="1:10">
      <c r="A9" s="6" t="s">
        <v>31</v>
      </c>
      <c r="B9" s="6" t="s">
        <v>14</v>
      </c>
      <c r="C9" s="6" t="s">
        <v>16</v>
      </c>
      <c r="E9" s="6">
        <v>10.4</v>
      </c>
      <c r="F9" s="6">
        <v>521.5</v>
      </c>
      <c r="G9" s="6">
        <v>37.299999999999997</v>
      </c>
    </row>
    <row r="10" spans="1:10">
      <c r="A10" s="6" t="s">
        <v>31</v>
      </c>
      <c r="B10" s="6" t="s">
        <v>14</v>
      </c>
      <c r="C10" s="6" t="s">
        <v>16</v>
      </c>
      <c r="E10" s="6">
        <v>5.5</v>
      </c>
      <c r="F10" s="6">
        <v>514.79999999999995</v>
      </c>
      <c r="G10" s="6">
        <v>36.200000000000003</v>
      </c>
    </row>
    <row r="11" spans="1:10">
      <c r="A11" s="6" t="s">
        <v>31</v>
      </c>
      <c r="B11" s="6" t="s">
        <v>14</v>
      </c>
      <c r="C11" s="6" t="s">
        <v>16</v>
      </c>
      <c r="F11" s="6">
        <v>852.1</v>
      </c>
      <c r="G11" s="6">
        <v>54.9</v>
      </c>
    </row>
    <row r="12" spans="1:10">
      <c r="A12" s="6" t="s">
        <v>31</v>
      </c>
      <c r="B12" s="6" t="s">
        <v>14</v>
      </c>
      <c r="C12" s="6" t="s">
        <v>16</v>
      </c>
      <c r="E12" s="6">
        <v>12.2</v>
      </c>
      <c r="F12" s="6">
        <v>415.3</v>
      </c>
      <c r="G12" s="6">
        <v>30.7</v>
      </c>
    </row>
    <row r="13" spans="1:10">
      <c r="A13" s="6" t="s">
        <v>31</v>
      </c>
      <c r="B13" s="6" t="s">
        <v>14</v>
      </c>
      <c r="C13" s="6" t="s">
        <v>16</v>
      </c>
      <c r="E13" s="6">
        <v>0.1</v>
      </c>
      <c r="F13" s="6">
        <v>313.2</v>
      </c>
      <c r="G13" s="6">
        <v>23.3</v>
      </c>
    </row>
    <row r="14" spans="1:10">
      <c r="A14" s="6" t="s">
        <v>31</v>
      </c>
      <c r="B14" s="6" t="s">
        <v>14</v>
      </c>
      <c r="C14" s="6" t="s">
        <v>16</v>
      </c>
      <c r="E14" s="6">
        <v>10.3</v>
      </c>
      <c r="F14" s="6">
        <v>728.8</v>
      </c>
      <c r="H14" s="6">
        <v>4093.1873049850819</v>
      </c>
      <c r="I14" s="6">
        <v>36.712665994706128</v>
      </c>
      <c r="J14" s="6">
        <v>0.52012478172733012</v>
      </c>
    </row>
    <row r="15" spans="1:10">
      <c r="A15" s="6" t="s">
        <v>31</v>
      </c>
      <c r="B15" s="6" t="s">
        <v>14</v>
      </c>
      <c r="C15" s="6" t="s">
        <v>16</v>
      </c>
      <c r="E15" s="6">
        <v>7.4</v>
      </c>
      <c r="F15" s="6">
        <v>621.20000000000005</v>
      </c>
      <c r="H15" s="6">
        <v>11246.295537810098</v>
      </c>
      <c r="I15" s="6">
        <v>39.249904472471215</v>
      </c>
      <c r="J15" s="6">
        <v>1.5898925017994407</v>
      </c>
    </row>
    <row r="16" spans="1:10">
      <c r="A16" s="6" t="s">
        <v>31</v>
      </c>
      <c r="B16" s="6" t="s">
        <v>14</v>
      </c>
      <c r="C16" s="6" t="s">
        <v>16</v>
      </c>
      <c r="E16" s="6">
        <v>6.4</v>
      </c>
      <c r="F16" s="6">
        <v>464.1</v>
      </c>
      <c r="H16" s="6">
        <v>6049.6872498800667</v>
      </c>
      <c r="I16" s="6">
        <v>47.903486834917032</v>
      </c>
      <c r="J16" s="6">
        <v>0.99268042415911772</v>
      </c>
    </row>
    <row r="17" spans="1:10">
      <c r="A17" s="6" t="s">
        <v>31</v>
      </c>
      <c r="B17" s="6" t="s">
        <v>14</v>
      </c>
      <c r="C17" s="6" t="s">
        <v>16</v>
      </c>
      <c r="E17" s="6">
        <v>8.1</v>
      </c>
      <c r="F17" s="6">
        <v>819.9</v>
      </c>
      <c r="H17" s="6">
        <v>8521.2925058358724</v>
      </c>
      <c r="I17" s="6">
        <v>41.084672526857219</v>
      </c>
      <c r="J17" s="6">
        <v>1.0833683327618726</v>
      </c>
    </row>
    <row r="18" spans="1:10">
      <c r="A18" s="6" t="s">
        <v>31</v>
      </c>
      <c r="B18" s="6" t="s">
        <v>14</v>
      </c>
      <c r="C18" s="6" t="s">
        <v>16</v>
      </c>
      <c r="E18" s="6">
        <v>8.1</v>
      </c>
      <c r="F18" s="6">
        <v>229.9</v>
      </c>
      <c r="H18" s="6">
        <v>11388.384926982391</v>
      </c>
      <c r="I18" s="6">
        <v>26.94066275708051</v>
      </c>
      <c r="J18" s="6">
        <v>1.2118067137962243</v>
      </c>
    </row>
    <row r="19" spans="1:10">
      <c r="A19" s="6" t="s">
        <v>31</v>
      </c>
      <c r="B19" s="6" t="s">
        <v>14</v>
      </c>
      <c r="C19" s="6" t="s">
        <v>17</v>
      </c>
      <c r="D19" s="6">
        <v>22</v>
      </c>
      <c r="F19" s="6">
        <v>400.6</v>
      </c>
      <c r="G19" s="6">
        <v>27</v>
      </c>
    </row>
    <row r="20" spans="1:10">
      <c r="A20" s="6" t="s">
        <v>31</v>
      </c>
      <c r="B20" s="6" t="s">
        <v>14</v>
      </c>
      <c r="C20" s="6" t="s">
        <v>17</v>
      </c>
      <c r="D20" s="6">
        <v>33</v>
      </c>
      <c r="F20" s="6">
        <v>365</v>
      </c>
      <c r="G20" s="6">
        <v>19.7</v>
      </c>
    </row>
    <row r="21" spans="1:10">
      <c r="A21" s="6" t="s">
        <v>31</v>
      </c>
      <c r="B21" s="6" t="s">
        <v>14</v>
      </c>
      <c r="C21" s="6" t="s">
        <v>17</v>
      </c>
      <c r="D21" s="6">
        <v>31</v>
      </c>
      <c r="F21" s="6">
        <v>563.4</v>
      </c>
      <c r="G21" s="6">
        <v>35.299999999999997</v>
      </c>
    </row>
    <row r="22" spans="1:10">
      <c r="A22" s="6" t="s">
        <v>31</v>
      </c>
      <c r="B22" s="6" t="s">
        <v>14</v>
      </c>
      <c r="C22" s="6" t="s">
        <v>17</v>
      </c>
      <c r="D22" s="6">
        <v>2</v>
      </c>
      <c r="F22" s="6">
        <v>810.3</v>
      </c>
      <c r="G22" s="6">
        <v>55.7</v>
      </c>
    </row>
    <row r="23" spans="1:10">
      <c r="A23" s="6" t="s">
        <v>31</v>
      </c>
      <c r="B23" s="6" t="s">
        <v>14</v>
      </c>
      <c r="C23" s="6" t="s">
        <v>17</v>
      </c>
      <c r="D23" s="6">
        <v>32</v>
      </c>
      <c r="F23" s="6">
        <v>807</v>
      </c>
      <c r="G23" s="6">
        <v>51.4</v>
      </c>
    </row>
    <row r="24" spans="1:10">
      <c r="A24" s="6" t="s">
        <v>31</v>
      </c>
      <c r="B24" s="6" t="s">
        <v>14</v>
      </c>
      <c r="C24" s="6" t="s">
        <v>17</v>
      </c>
      <c r="D24" s="6">
        <v>14</v>
      </c>
      <c r="F24" s="6">
        <v>515.6</v>
      </c>
      <c r="G24" s="6">
        <v>33.700000000000003</v>
      </c>
    </row>
    <row r="25" spans="1:10">
      <c r="A25" s="6" t="s">
        <v>31</v>
      </c>
      <c r="B25" s="6" t="s">
        <v>14</v>
      </c>
      <c r="C25" s="6" t="s">
        <v>17</v>
      </c>
      <c r="D25" s="6">
        <v>26</v>
      </c>
      <c r="F25" s="6">
        <v>525.5</v>
      </c>
      <c r="H25" s="6">
        <v>752.58341257239692</v>
      </c>
      <c r="I25" s="6">
        <v>33.468885073356134</v>
      </c>
      <c r="J25" s="6">
        <v>0.8947490873835281</v>
      </c>
    </row>
    <row r="26" spans="1:10">
      <c r="A26" s="6" t="s">
        <v>31</v>
      </c>
      <c r="B26" s="6" t="s">
        <v>14</v>
      </c>
      <c r="C26" s="6" t="s">
        <v>17</v>
      </c>
      <c r="D26" s="6">
        <v>25</v>
      </c>
      <c r="F26" s="6">
        <v>636.5</v>
      </c>
      <c r="H26" s="6">
        <v>819.29761979311274</v>
      </c>
      <c r="I26" s="6">
        <v>26.185984047931854</v>
      </c>
      <c r="J26" s="6">
        <v>0.39070353110516759</v>
      </c>
    </row>
    <row r="27" spans="1:10">
      <c r="A27" s="6" t="s">
        <v>31</v>
      </c>
      <c r="B27" s="6" t="s">
        <v>14</v>
      </c>
      <c r="C27" s="6" t="s">
        <v>17</v>
      </c>
      <c r="D27" s="6">
        <v>17</v>
      </c>
      <c r="F27" s="6">
        <v>736.7</v>
      </c>
      <c r="H27" s="6">
        <v>1522.1908926696547</v>
      </c>
      <c r="I27" s="6">
        <v>41.529171445222431</v>
      </c>
    </row>
    <row r="28" spans="1:10">
      <c r="A28" s="6" t="s">
        <v>31</v>
      </c>
      <c r="B28" s="6" t="s">
        <v>14</v>
      </c>
      <c r="C28" s="6" t="s">
        <v>17</v>
      </c>
      <c r="D28" s="6">
        <v>3</v>
      </c>
      <c r="F28" s="6">
        <v>918.8</v>
      </c>
      <c r="H28" s="6">
        <v>1833.96347925238</v>
      </c>
      <c r="I28" s="6">
        <v>32.839822314335372</v>
      </c>
      <c r="J28" s="6">
        <v>0.3622108816960164</v>
      </c>
    </row>
    <row r="29" spans="1:10">
      <c r="A29" s="6" t="s">
        <v>31</v>
      </c>
      <c r="B29" s="6" t="s">
        <v>14</v>
      </c>
      <c r="C29" s="6" t="s">
        <v>17</v>
      </c>
      <c r="D29" s="6">
        <v>4</v>
      </c>
      <c r="F29" s="6">
        <v>631.20000000000005</v>
      </c>
      <c r="H29" s="6">
        <v>1564.9371851498734</v>
      </c>
      <c r="I29" s="6">
        <v>29.62772055553156</v>
      </c>
      <c r="J29" s="6">
        <v>2.8529110975381156</v>
      </c>
    </row>
    <row r="30" spans="1:10">
      <c r="A30" s="6" t="s">
        <v>31</v>
      </c>
      <c r="B30" s="6" t="s">
        <v>14</v>
      </c>
      <c r="C30" s="6" t="s">
        <v>2</v>
      </c>
      <c r="D30" s="6">
        <v>18</v>
      </c>
      <c r="E30" s="6">
        <v>3.6</v>
      </c>
      <c r="F30" s="6">
        <v>705</v>
      </c>
      <c r="G30" s="6">
        <v>46.8</v>
      </c>
    </row>
    <row r="31" spans="1:10">
      <c r="A31" s="6" t="s">
        <v>31</v>
      </c>
      <c r="B31" s="6" t="s">
        <v>14</v>
      </c>
      <c r="C31" s="6" t="s">
        <v>2</v>
      </c>
      <c r="D31" s="6">
        <v>20</v>
      </c>
      <c r="E31" s="6">
        <v>3.2</v>
      </c>
      <c r="F31" s="6">
        <v>206.1</v>
      </c>
      <c r="G31" s="6">
        <v>13.3</v>
      </c>
    </row>
    <row r="32" spans="1:10">
      <c r="A32" s="6" t="s">
        <v>31</v>
      </c>
      <c r="B32" s="6" t="s">
        <v>14</v>
      </c>
      <c r="C32" s="6" t="s">
        <v>2</v>
      </c>
      <c r="D32" s="6">
        <v>31</v>
      </c>
      <c r="E32" s="6">
        <v>6.9</v>
      </c>
      <c r="F32" s="6">
        <v>312.5</v>
      </c>
      <c r="G32" s="6">
        <v>24.2</v>
      </c>
    </row>
    <row r="33" spans="1:10">
      <c r="A33" s="6" t="s">
        <v>31</v>
      </c>
      <c r="B33" s="6" t="s">
        <v>14</v>
      </c>
      <c r="C33" s="6" t="s">
        <v>2</v>
      </c>
      <c r="D33" s="6">
        <v>22</v>
      </c>
      <c r="E33" s="6">
        <v>6</v>
      </c>
      <c r="F33" s="6">
        <v>777.4</v>
      </c>
      <c r="G33" s="6">
        <v>46.9</v>
      </c>
    </row>
    <row r="34" spans="1:10">
      <c r="A34" s="6" t="s">
        <v>31</v>
      </c>
      <c r="B34" s="6" t="s">
        <v>14</v>
      </c>
      <c r="C34" s="6" t="s">
        <v>2</v>
      </c>
      <c r="D34" s="6">
        <v>40</v>
      </c>
      <c r="E34" s="6">
        <v>0.4</v>
      </c>
      <c r="F34" s="6">
        <v>656.4</v>
      </c>
      <c r="G34" s="6">
        <v>40.700000000000003</v>
      </c>
    </row>
    <row r="35" spans="1:10">
      <c r="A35" s="6" t="s">
        <v>31</v>
      </c>
      <c r="B35" s="6" t="s">
        <v>14</v>
      </c>
      <c r="C35" s="6" t="s">
        <v>2</v>
      </c>
      <c r="D35" s="6">
        <v>7</v>
      </c>
      <c r="E35" s="6">
        <v>10.6</v>
      </c>
      <c r="F35" s="6">
        <v>569.20000000000005</v>
      </c>
      <c r="G35" s="6">
        <v>39.4</v>
      </c>
    </row>
    <row r="36" spans="1:10">
      <c r="A36" s="6" t="s">
        <v>31</v>
      </c>
      <c r="B36" s="6" t="s">
        <v>14</v>
      </c>
      <c r="C36" s="6" t="s">
        <v>2</v>
      </c>
      <c r="D36" s="6">
        <v>11</v>
      </c>
      <c r="E36" s="6">
        <v>5.2</v>
      </c>
      <c r="F36" s="6">
        <v>654.70000000000005</v>
      </c>
      <c r="H36" s="6">
        <v>4063.9879616767994</v>
      </c>
      <c r="I36" s="6">
        <v>26.890804052995307</v>
      </c>
      <c r="J36" s="6">
        <v>2.1126407426929612</v>
      </c>
    </row>
    <row r="37" spans="1:10">
      <c r="A37" s="6" t="s">
        <v>31</v>
      </c>
      <c r="B37" s="6" t="s">
        <v>14</v>
      </c>
      <c r="C37" s="6" t="s">
        <v>2</v>
      </c>
      <c r="D37" s="6">
        <v>20</v>
      </c>
      <c r="E37" s="6">
        <v>9.8000000000000007</v>
      </c>
      <c r="F37" s="6">
        <v>779.9</v>
      </c>
      <c r="H37" s="6">
        <v>2431.3706941223427</v>
      </c>
      <c r="I37" s="6">
        <v>44.884839175265341</v>
      </c>
      <c r="J37" s="6">
        <v>1.4193295734434757</v>
      </c>
    </row>
    <row r="38" spans="1:10">
      <c r="A38" s="6" t="s">
        <v>31</v>
      </c>
      <c r="B38" s="6" t="s">
        <v>14</v>
      </c>
      <c r="C38" s="6" t="s">
        <v>2</v>
      </c>
      <c r="D38" s="6">
        <v>21</v>
      </c>
      <c r="E38" s="6">
        <v>5.4</v>
      </c>
      <c r="F38" s="6">
        <v>604.70000000000005</v>
      </c>
      <c r="H38" s="6">
        <v>4013.1558735513026</v>
      </c>
      <c r="I38" s="6">
        <v>66.389151594939605</v>
      </c>
      <c r="J38" s="6">
        <v>1.2709873430989573</v>
      </c>
    </row>
    <row r="39" spans="1:10">
      <c r="A39" s="6" t="s">
        <v>31</v>
      </c>
      <c r="B39" s="6" t="s">
        <v>14</v>
      </c>
      <c r="C39" s="6" t="s">
        <v>2</v>
      </c>
      <c r="D39" s="6">
        <v>15</v>
      </c>
      <c r="E39" s="6">
        <v>9.5</v>
      </c>
      <c r="F39" s="6">
        <v>647.79999999999995</v>
      </c>
      <c r="H39" s="6">
        <v>3525.3280690773918</v>
      </c>
      <c r="I39" s="6">
        <v>35.632227514952824</v>
      </c>
      <c r="J39" s="6">
        <v>2.6471058378096002</v>
      </c>
    </row>
    <row r="40" spans="1:10">
      <c r="A40" s="6" t="s">
        <v>31</v>
      </c>
      <c r="B40" s="6" t="s">
        <v>14</v>
      </c>
      <c r="C40" s="6" t="s">
        <v>2</v>
      </c>
      <c r="D40" s="6">
        <v>7</v>
      </c>
      <c r="E40" s="6">
        <v>13.2</v>
      </c>
      <c r="F40" s="6">
        <v>466.8</v>
      </c>
      <c r="H40" s="6">
        <v>4638.7498749626475</v>
      </c>
      <c r="I40" s="6">
        <v>36.856163285617072</v>
      </c>
      <c r="J40" s="6">
        <v>2.6526397239240027</v>
      </c>
    </row>
    <row r="41" spans="1:10">
      <c r="A41" s="6" t="s">
        <v>32</v>
      </c>
      <c r="B41" s="6" t="s">
        <v>14</v>
      </c>
      <c r="C41" s="6" t="s">
        <v>6</v>
      </c>
      <c r="F41" s="6">
        <v>487.2</v>
      </c>
      <c r="G41" s="6">
        <v>31.3</v>
      </c>
    </row>
    <row r="42" spans="1:10">
      <c r="A42" s="6" t="s">
        <v>32</v>
      </c>
      <c r="B42" s="6" t="s">
        <v>14</v>
      </c>
      <c r="C42" s="6" t="s">
        <v>6</v>
      </c>
      <c r="F42" s="6">
        <v>475.6</v>
      </c>
      <c r="G42" s="6">
        <v>29.1</v>
      </c>
    </row>
    <row r="43" spans="1:10">
      <c r="A43" s="6" t="s">
        <v>32</v>
      </c>
      <c r="B43" s="6" t="s">
        <v>14</v>
      </c>
      <c r="C43" s="6" t="s">
        <v>6</v>
      </c>
      <c r="F43" s="6">
        <v>535.1</v>
      </c>
      <c r="G43" s="6">
        <v>31</v>
      </c>
    </row>
    <row r="44" spans="1:10">
      <c r="A44" s="6" t="s">
        <v>32</v>
      </c>
      <c r="B44" s="6" t="s">
        <v>14</v>
      </c>
      <c r="C44" s="6" t="s">
        <v>6</v>
      </c>
      <c r="F44" s="6">
        <v>433.6</v>
      </c>
      <c r="H44" s="6">
        <v>248.8497429863412</v>
      </c>
      <c r="I44" s="6">
        <v>49.791895866141999</v>
      </c>
      <c r="J44" s="6">
        <v>0.35348641856792273</v>
      </c>
    </row>
    <row r="45" spans="1:10">
      <c r="A45" s="6" t="s">
        <v>32</v>
      </c>
      <c r="B45" s="6" t="s">
        <v>14</v>
      </c>
      <c r="C45" s="6" t="s">
        <v>6</v>
      </c>
      <c r="H45" s="6">
        <v>261.43585640068386</v>
      </c>
      <c r="I45" s="6">
        <v>57.34605876248424</v>
      </c>
      <c r="J45" s="6">
        <v>1.2257052170899971</v>
      </c>
    </row>
    <row r="46" spans="1:10">
      <c r="A46" s="6" t="s">
        <v>32</v>
      </c>
      <c r="B46" s="6" t="s">
        <v>14</v>
      </c>
      <c r="C46" s="6" t="s">
        <v>6</v>
      </c>
      <c r="F46" s="6">
        <v>679.4</v>
      </c>
      <c r="H46" s="6">
        <v>1392.9363271294094</v>
      </c>
      <c r="I46" s="6">
        <v>69.282843069663457</v>
      </c>
      <c r="J46" s="6">
        <v>1.1721679867092885</v>
      </c>
    </row>
    <row r="47" spans="1:10">
      <c r="A47" s="6" t="s">
        <v>32</v>
      </c>
      <c r="B47" s="6" t="s">
        <v>14</v>
      </c>
      <c r="C47" s="6" t="s">
        <v>16</v>
      </c>
      <c r="E47" s="6">
        <v>7.3</v>
      </c>
      <c r="F47" s="6">
        <v>596.9</v>
      </c>
      <c r="G47" s="6">
        <v>40.200000000000003</v>
      </c>
    </row>
    <row r="48" spans="1:10">
      <c r="A48" s="6" t="s">
        <v>32</v>
      </c>
      <c r="B48" s="6" t="s">
        <v>14</v>
      </c>
      <c r="C48" s="6" t="s">
        <v>16</v>
      </c>
      <c r="E48" s="6">
        <v>13.4</v>
      </c>
      <c r="F48" s="6">
        <v>671.3</v>
      </c>
      <c r="G48" s="6">
        <v>48.3</v>
      </c>
    </row>
    <row r="49" spans="1:10">
      <c r="A49" s="6" t="s">
        <v>32</v>
      </c>
      <c r="B49" s="6" t="s">
        <v>14</v>
      </c>
      <c r="C49" s="6" t="s">
        <v>16</v>
      </c>
      <c r="E49" s="6">
        <v>0.8</v>
      </c>
      <c r="F49" s="6">
        <v>765.6</v>
      </c>
      <c r="G49" s="6">
        <v>50.4</v>
      </c>
    </row>
    <row r="50" spans="1:10">
      <c r="A50" s="6" t="s">
        <v>32</v>
      </c>
      <c r="B50" s="6" t="s">
        <v>14</v>
      </c>
      <c r="C50" s="6" t="s">
        <v>16</v>
      </c>
      <c r="E50" s="6">
        <v>0.8</v>
      </c>
      <c r="F50" s="6">
        <v>832.4</v>
      </c>
      <c r="G50" s="6">
        <v>54.2</v>
      </c>
    </row>
    <row r="51" spans="1:10">
      <c r="A51" s="6" t="s">
        <v>32</v>
      </c>
      <c r="B51" s="6" t="s">
        <v>14</v>
      </c>
      <c r="C51" s="6" t="s">
        <v>16</v>
      </c>
      <c r="E51" s="6">
        <v>3.4</v>
      </c>
      <c r="F51" s="6">
        <v>379.8</v>
      </c>
      <c r="G51" s="6">
        <v>28.9</v>
      </c>
    </row>
    <row r="52" spans="1:10">
      <c r="A52" s="6" t="s">
        <v>32</v>
      </c>
      <c r="B52" s="6" t="s">
        <v>14</v>
      </c>
      <c r="C52" s="6" t="s">
        <v>16</v>
      </c>
      <c r="E52" s="6">
        <v>4.3</v>
      </c>
      <c r="F52" s="6">
        <v>696</v>
      </c>
      <c r="G52" s="6">
        <v>50.2</v>
      </c>
    </row>
    <row r="53" spans="1:10">
      <c r="A53" s="6" t="s">
        <v>32</v>
      </c>
      <c r="B53" s="6" t="s">
        <v>14</v>
      </c>
      <c r="C53" s="6" t="s">
        <v>16</v>
      </c>
      <c r="E53" s="6">
        <v>13.3</v>
      </c>
      <c r="F53" s="6">
        <v>877.6</v>
      </c>
      <c r="H53" s="6">
        <v>5131.6117720273242</v>
      </c>
      <c r="I53" s="6">
        <v>75.131692178336792</v>
      </c>
      <c r="J53" s="6">
        <v>0.68351422692344255</v>
      </c>
    </row>
    <row r="54" spans="1:10">
      <c r="A54" s="6" t="s">
        <v>32</v>
      </c>
      <c r="B54" s="6" t="s">
        <v>14</v>
      </c>
      <c r="C54" s="6" t="s">
        <v>16</v>
      </c>
      <c r="E54" s="6">
        <v>1.2</v>
      </c>
      <c r="F54" s="6">
        <v>613.29999999999995</v>
      </c>
      <c r="H54" s="6">
        <v>4676.5636286401705</v>
      </c>
      <c r="I54" s="6">
        <v>62.669842823104034</v>
      </c>
      <c r="J54" s="6">
        <v>1.4934608112238847</v>
      </c>
    </row>
    <row r="55" spans="1:10">
      <c r="A55" s="6" t="s">
        <v>32</v>
      </c>
      <c r="B55" s="6" t="s">
        <v>14</v>
      </c>
      <c r="C55" s="6" t="s">
        <v>16</v>
      </c>
      <c r="E55" s="6">
        <v>9.5</v>
      </c>
      <c r="F55" s="6">
        <v>623.20000000000005</v>
      </c>
      <c r="H55" s="6">
        <v>3791.5843315029347</v>
      </c>
      <c r="I55" s="6">
        <v>78.900080637009367</v>
      </c>
      <c r="J55" s="6">
        <v>1.6397608870638432</v>
      </c>
    </row>
    <row r="56" spans="1:10">
      <c r="A56" s="6" t="s">
        <v>32</v>
      </c>
      <c r="B56" s="6" t="s">
        <v>14</v>
      </c>
      <c r="C56" s="6" t="s">
        <v>16</v>
      </c>
      <c r="E56" s="6">
        <v>1.2</v>
      </c>
      <c r="F56" s="6">
        <v>476.6</v>
      </c>
      <c r="H56" s="6">
        <v>8143.7388694890114</v>
      </c>
      <c r="I56" s="6">
        <v>76.54339244185654</v>
      </c>
      <c r="J56" s="6">
        <v>0.7162868781582431</v>
      </c>
    </row>
    <row r="57" spans="1:10">
      <c r="A57" s="6" t="s">
        <v>32</v>
      </c>
      <c r="B57" s="6" t="s">
        <v>14</v>
      </c>
      <c r="C57" s="6" t="s">
        <v>16</v>
      </c>
      <c r="E57" s="6">
        <v>9.8000000000000007</v>
      </c>
      <c r="F57" s="6">
        <v>604.9</v>
      </c>
      <c r="H57" s="6">
        <v>14098.088323179913</v>
      </c>
      <c r="I57" s="6">
        <v>72.801029818291155</v>
      </c>
      <c r="J57" s="6">
        <v>3.3509491196395569</v>
      </c>
    </row>
    <row r="58" spans="1:10">
      <c r="A58" s="6" t="s">
        <v>32</v>
      </c>
      <c r="B58" s="6" t="s">
        <v>14</v>
      </c>
      <c r="C58" s="6" t="s">
        <v>17</v>
      </c>
      <c r="D58" s="6">
        <v>25</v>
      </c>
      <c r="F58" s="6">
        <v>540.1</v>
      </c>
      <c r="G58" s="6">
        <v>35.9</v>
      </c>
    </row>
    <row r="59" spans="1:10">
      <c r="A59" s="6" t="s">
        <v>32</v>
      </c>
      <c r="B59" s="6" t="s">
        <v>14</v>
      </c>
      <c r="C59" s="6" t="s">
        <v>17</v>
      </c>
      <c r="D59" s="6">
        <v>25</v>
      </c>
      <c r="F59" s="6">
        <v>509.3</v>
      </c>
      <c r="G59" s="6">
        <v>35.799999999999997</v>
      </c>
    </row>
    <row r="60" spans="1:10">
      <c r="A60" s="6" t="s">
        <v>32</v>
      </c>
      <c r="B60" s="6" t="s">
        <v>14</v>
      </c>
      <c r="C60" s="6" t="s">
        <v>17</v>
      </c>
      <c r="D60" s="6">
        <v>32</v>
      </c>
      <c r="F60" s="6">
        <v>421</v>
      </c>
      <c r="G60" s="6">
        <v>31.7</v>
      </c>
    </row>
    <row r="61" spans="1:10">
      <c r="A61" s="6" t="s">
        <v>32</v>
      </c>
      <c r="B61" s="6" t="s">
        <v>14</v>
      </c>
      <c r="C61" s="6" t="s">
        <v>17</v>
      </c>
      <c r="D61" s="6">
        <v>8</v>
      </c>
      <c r="F61" s="6">
        <v>631.4</v>
      </c>
      <c r="G61" s="6">
        <v>40.9</v>
      </c>
    </row>
    <row r="62" spans="1:10">
      <c r="A62" s="6" t="s">
        <v>32</v>
      </c>
      <c r="B62" s="6" t="s">
        <v>14</v>
      </c>
      <c r="C62" s="6" t="s">
        <v>17</v>
      </c>
      <c r="D62" s="6">
        <v>41</v>
      </c>
      <c r="F62" s="6">
        <v>708.2</v>
      </c>
      <c r="G62" s="6">
        <v>25.5</v>
      </c>
    </row>
    <row r="63" spans="1:10">
      <c r="A63" s="6" t="s">
        <v>32</v>
      </c>
      <c r="B63" s="6" t="s">
        <v>14</v>
      </c>
      <c r="C63" s="6" t="s">
        <v>17</v>
      </c>
      <c r="D63" s="6">
        <v>15</v>
      </c>
      <c r="F63" s="6">
        <v>490.8</v>
      </c>
      <c r="G63" s="6">
        <v>14.6</v>
      </c>
    </row>
    <row r="64" spans="1:10">
      <c r="A64" s="6" t="s">
        <v>32</v>
      </c>
      <c r="B64" s="6" t="s">
        <v>14</v>
      </c>
      <c r="C64" s="6" t="s">
        <v>17</v>
      </c>
      <c r="D64" s="6">
        <v>6</v>
      </c>
      <c r="F64" s="6">
        <v>778.2</v>
      </c>
      <c r="H64" s="6">
        <v>4538.8287112794878</v>
      </c>
      <c r="I64" s="6">
        <v>49.0904685811525</v>
      </c>
      <c r="J64" s="6">
        <v>0.38475881117292415</v>
      </c>
    </row>
    <row r="65" spans="1:10">
      <c r="A65" s="6" t="s">
        <v>32</v>
      </c>
      <c r="B65" s="6" t="s">
        <v>14</v>
      </c>
      <c r="C65" s="6" t="s">
        <v>17</v>
      </c>
      <c r="D65" s="6">
        <v>16</v>
      </c>
      <c r="F65" s="6">
        <v>864.3</v>
      </c>
      <c r="H65" s="6">
        <v>1879.6032459756357</v>
      </c>
      <c r="I65" s="6">
        <v>40.454655276349264</v>
      </c>
      <c r="J65" s="6">
        <v>1.8401393496502034</v>
      </c>
    </row>
    <row r="66" spans="1:10">
      <c r="A66" s="6" t="s">
        <v>32</v>
      </c>
      <c r="B66" s="6" t="s">
        <v>14</v>
      </c>
      <c r="C66" s="6" t="s">
        <v>17</v>
      </c>
      <c r="D66" s="6">
        <v>6</v>
      </c>
      <c r="F66" s="6">
        <v>979.4</v>
      </c>
      <c r="H66" s="6">
        <v>2598.644060354397</v>
      </c>
      <c r="I66" s="6">
        <v>61.864230058150952</v>
      </c>
      <c r="J66" s="6">
        <v>0.29719966131301895</v>
      </c>
    </row>
    <row r="67" spans="1:10">
      <c r="A67" s="6" t="s">
        <v>32</v>
      </c>
      <c r="B67" s="6" t="s">
        <v>14</v>
      </c>
      <c r="C67" s="6" t="s">
        <v>17</v>
      </c>
      <c r="D67" s="6">
        <v>20</v>
      </c>
      <c r="F67" s="6">
        <v>978.1</v>
      </c>
      <c r="H67" s="6">
        <v>4310.7723843155973</v>
      </c>
      <c r="I67" s="6">
        <v>35.521236568847016</v>
      </c>
      <c r="J67" s="6">
        <v>0.9675533592422868</v>
      </c>
    </row>
    <row r="68" spans="1:10">
      <c r="A68" s="6" t="s">
        <v>32</v>
      </c>
      <c r="B68" s="6" t="s">
        <v>14</v>
      </c>
      <c r="C68" s="6" t="s">
        <v>17</v>
      </c>
      <c r="D68" s="6">
        <v>19</v>
      </c>
      <c r="F68" s="6">
        <v>576.70000000000005</v>
      </c>
      <c r="H68" s="6">
        <v>3471.4349678039443</v>
      </c>
      <c r="I68" s="6">
        <v>52.676907391016591</v>
      </c>
      <c r="J68" s="6">
        <v>2.8854657865134947</v>
      </c>
    </row>
    <row r="69" spans="1:10">
      <c r="A69" s="6" t="s">
        <v>32</v>
      </c>
      <c r="B69" s="6" t="s">
        <v>14</v>
      </c>
      <c r="C69" s="6" t="s">
        <v>2</v>
      </c>
      <c r="D69" s="6">
        <v>4</v>
      </c>
      <c r="E69" s="6">
        <v>1.7</v>
      </c>
      <c r="F69" s="6">
        <v>336.9</v>
      </c>
      <c r="G69" s="6">
        <v>24.1</v>
      </c>
    </row>
    <row r="70" spans="1:10">
      <c r="A70" s="6" t="s">
        <v>32</v>
      </c>
      <c r="B70" s="6" t="s">
        <v>14</v>
      </c>
      <c r="C70" s="6" t="s">
        <v>2</v>
      </c>
      <c r="D70" s="6">
        <v>15</v>
      </c>
      <c r="E70" s="6">
        <v>2.2000000000000002</v>
      </c>
      <c r="F70" s="6">
        <v>790</v>
      </c>
      <c r="G70" s="6">
        <v>53.3</v>
      </c>
    </row>
    <row r="71" spans="1:10">
      <c r="A71" s="6" t="s">
        <v>32</v>
      </c>
      <c r="B71" s="6" t="s">
        <v>14</v>
      </c>
      <c r="C71" s="6" t="s">
        <v>2</v>
      </c>
      <c r="D71" s="6">
        <v>34</v>
      </c>
      <c r="E71" s="6">
        <v>0.6</v>
      </c>
      <c r="F71" s="6">
        <v>667</v>
      </c>
      <c r="G71" s="6">
        <v>44.7</v>
      </c>
    </row>
    <row r="72" spans="1:10">
      <c r="A72" s="6" t="s">
        <v>32</v>
      </c>
      <c r="B72" s="6" t="s">
        <v>14</v>
      </c>
      <c r="C72" s="6" t="s">
        <v>2</v>
      </c>
      <c r="D72" s="6">
        <v>3</v>
      </c>
      <c r="E72" s="6">
        <v>1.3</v>
      </c>
      <c r="F72" s="6">
        <v>536.20000000000005</v>
      </c>
      <c r="G72" s="6">
        <v>38.700000000000003</v>
      </c>
    </row>
    <row r="73" spans="1:10">
      <c r="A73" s="6" t="s">
        <v>32</v>
      </c>
      <c r="B73" s="6" t="s">
        <v>14</v>
      </c>
      <c r="C73" s="6" t="s">
        <v>2</v>
      </c>
      <c r="D73" s="6">
        <v>14</v>
      </c>
      <c r="E73" s="6">
        <v>3.6</v>
      </c>
      <c r="F73" s="6">
        <v>617.5</v>
      </c>
      <c r="G73" s="6">
        <v>43.5</v>
      </c>
    </row>
    <row r="74" spans="1:10">
      <c r="A74" s="6" t="s">
        <v>32</v>
      </c>
      <c r="B74" s="6" t="s">
        <v>14</v>
      </c>
      <c r="C74" s="6" t="s">
        <v>2</v>
      </c>
      <c r="D74" s="6">
        <v>15</v>
      </c>
      <c r="E74" s="6">
        <v>6.7</v>
      </c>
      <c r="F74" s="6">
        <v>717.7</v>
      </c>
      <c r="G74" s="6">
        <v>48.8</v>
      </c>
    </row>
    <row r="75" spans="1:10">
      <c r="A75" s="6" t="s">
        <v>32</v>
      </c>
      <c r="B75" s="6" t="s">
        <v>14</v>
      </c>
      <c r="C75" s="6" t="s">
        <v>2</v>
      </c>
      <c r="D75" s="6">
        <v>16</v>
      </c>
      <c r="E75" s="6">
        <v>5.4</v>
      </c>
      <c r="F75" s="6">
        <v>779.6</v>
      </c>
      <c r="H75" s="6">
        <v>5069.9974948934669</v>
      </c>
      <c r="I75" s="6">
        <v>55.183260275672076</v>
      </c>
      <c r="J75" s="6">
        <v>3.2391734785573454</v>
      </c>
    </row>
    <row r="76" spans="1:10">
      <c r="A76" s="6" t="s">
        <v>32</v>
      </c>
      <c r="B76" s="6" t="s">
        <v>14</v>
      </c>
      <c r="C76" s="6" t="s">
        <v>2</v>
      </c>
      <c r="D76" s="6">
        <v>19</v>
      </c>
      <c r="E76" s="6">
        <v>11.7</v>
      </c>
      <c r="F76" s="6">
        <v>410.3</v>
      </c>
      <c r="H76" s="6">
        <v>9626.0669778903703</v>
      </c>
      <c r="I76" s="6">
        <v>58.496415087189753</v>
      </c>
      <c r="J76" s="6">
        <v>2.723740446649404</v>
      </c>
    </row>
    <row r="77" spans="1:10">
      <c r="A77" s="6" t="s">
        <v>32</v>
      </c>
      <c r="B77" s="6" t="s">
        <v>14</v>
      </c>
      <c r="C77" s="6" t="s">
        <v>2</v>
      </c>
      <c r="D77" s="6">
        <v>23</v>
      </c>
      <c r="E77" s="6">
        <v>7.6</v>
      </c>
      <c r="F77" s="6">
        <v>412.2</v>
      </c>
      <c r="H77" s="6">
        <v>10135.849866739791</v>
      </c>
      <c r="I77" s="6">
        <v>92.505521144369652</v>
      </c>
      <c r="J77" s="6">
        <v>6.3086979750335868</v>
      </c>
    </row>
    <row r="78" spans="1:10">
      <c r="A78" s="6" t="s">
        <v>32</v>
      </c>
      <c r="B78" s="6" t="s">
        <v>14</v>
      </c>
      <c r="C78" s="6" t="s">
        <v>2</v>
      </c>
      <c r="D78" s="6">
        <v>13</v>
      </c>
      <c r="E78" s="6">
        <v>7.7</v>
      </c>
      <c r="F78" s="6">
        <v>308.10000000000002</v>
      </c>
      <c r="H78" s="6">
        <v>6257.702831764007</v>
      </c>
      <c r="I78" s="6">
        <v>60.929533112083234</v>
      </c>
      <c r="J78" s="6">
        <v>1.2538559304926813</v>
      </c>
    </row>
    <row r="79" spans="1:10">
      <c r="A79" s="6" t="s">
        <v>32</v>
      </c>
      <c r="B79" s="6" t="s">
        <v>14</v>
      </c>
      <c r="C79" s="6" t="s">
        <v>2</v>
      </c>
      <c r="D79" s="6">
        <v>22</v>
      </c>
      <c r="E79" s="6">
        <v>12.6</v>
      </c>
      <c r="F79" s="6">
        <v>675.5</v>
      </c>
      <c r="H79" s="6">
        <v>7751.5819337981084</v>
      </c>
      <c r="I79" s="6">
        <v>67.49213589971167</v>
      </c>
      <c r="J79" s="6">
        <v>3.6674260660126561</v>
      </c>
    </row>
    <row r="80" spans="1:10">
      <c r="A80" s="6" t="s">
        <v>33</v>
      </c>
      <c r="B80" s="6" t="s">
        <v>15</v>
      </c>
      <c r="C80" s="6" t="s">
        <v>6</v>
      </c>
      <c r="F80" s="6">
        <v>497.8</v>
      </c>
      <c r="G80" s="6">
        <v>30.7</v>
      </c>
    </row>
    <row r="81" spans="1:10">
      <c r="A81" s="6" t="s">
        <v>33</v>
      </c>
      <c r="B81" s="6" t="s">
        <v>15</v>
      </c>
      <c r="C81" s="6" t="s">
        <v>6</v>
      </c>
      <c r="F81" s="6">
        <v>793.5</v>
      </c>
      <c r="G81" s="6">
        <v>47.2</v>
      </c>
    </row>
    <row r="82" spans="1:10">
      <c r="A82" s="6" t="s">
        <v>33</v>
      </c>
      <c r="B82" s="6" t="s">
        <v>15</v>
      </c>
      <c r="C82" s="6" t="s">
        <v>6</v>
      </c>
      <c r="F82" s="6">
        <v>538.9</v>
      </c>
      <c r="G82" s="6">
        <v>33.299999999999997</v>
      </c>
    </row>
    <row r="83" spans="1:10">
      <c r="A83" s="6" t="s">
        <v>33</v>
      </c>
      <c r="B83" s="6" t="s">
        <v>15</v>
      </c>
      <c r="C83" s="6" t="s">
        <v>6</v>
      </c>
      <c r="F83" s="6">
        <v>604.4</v>
      </c>
      <c r="H83" s="6">
        <v>950.83239956020645</v>
      </c>
      <c r="I83" s="6">
        <v>56.560195915860206</v>
      </c>
    </row>
    <row r="84" spans="1:10">
      <c r="A84" s="6" t="s">
        <v>33</v>
      </c>
      <c r="B84" s="6" t="s">
        <v>15</v>
      </c>
      <c r="C84" s="6" t="s">
        <v>6</v>
      </c>
      <c r="F84" s="6">
        <v>703.8</v>
      </c>
      <c r="H84" s="6">
        <v>916.58101347453203</v>
      </c>
      <c r="I84" s="6">
        <v>50.656799460670619</v>
      </c>
      <c r="J84" s="6">
        <v>2.2068313897941554</v>
      </c>
    </row>
    <row r="85" spans="1:10">
      <c r="A85" s="6" t="s">
        <v>33</v>
      </c>
      <c r="B85" s="6" t="s">
        <v>15</v>
      </c>
      <c r="C85" s="6" t="s">
        <v>6</v>
      </c>
      <c r="F85" s="6">
        <v>335.8</v>
      </c>
      <c r="H85" s="6">
        <v>1518.1157186280789</v>
      </c>
      <c r="I85" s="6">
        <v>62.506802876712172</v>
      </c>
      <c r="J85" s="6">
        <v>10.936630776020339</v>
      </c>
    </row>
    <row r="86" spans="1:10">
      <c r="A86" s="6" t="s">
        <v>33</v>
      </c>
      <c r="B86" s="6" t="s">
        <v>15</v>
      </c>
      <c r="C86" s="6" t="s">
        <v>16</v>
      </c>
      <c r="E86" s="6">
        <v>12.3</v>
      </c>
      <c r="F86" s="6">
        <v>560.1</v>
      </c>
      <c r="G86" s="6">
        <v>43.8</v>
      </c>
    </row>
    <row r="87" spans="1:10">
      <c r="A87" s="6" t="s">
        <v>33</v>
      </c>
      <c r="B87" s="6" t="s">
        <v>15</v>
      </c>
      <c r="C87" s="6" t="s">
        <v>16</v>
      </c>
      <c r="F87" s="6">
        <v>705.6</v>
      </c>
      <c r="G87" s="6">
        <v>38.299999999999997</v>
      </c>
    </row>
    <row r="88" spans="1:10">
      <c r="A88" s="6" t="s">
        <v>33</v>
      </c>
      <c r="B88" s="6" t="s">
        <v>15</v>
      </c>
      <c r="C88" s="6" t="s">
        <v>16</v>
      </c>
      <c r="E88" s="6">
        <v>3.6</v>
      </c>
      <c r="F88" s="6">
        <v>784.9</v>
      </c>
      <c r="G88" s="6">
        <v>46.8</v>
      </c>
    </row>
    <row r="89" spans="1:10">
      <c r="A89" s="6" t="s">
        <v>33</v>
      </c>
      <c r="B89" s="6" t="s">
        <v>15</v>
      </c>
      <c r="C89" s="6" t="s">
        <v>16</v>
      </c>
      <c r="E89" s="6">
        <v>2.7</v>
      </c>
      <c r="F89" s="6">
        <v>734.3</v>
      </c>
      <c r="G89" s="6">
        <v>45</v>
      </c>
    </row>
    <row r="90" spans="1:10">
      <c r="A90" s="6" t="s">
        <v>33</v>
      </c>
      <c r="B90" s="6" t="s">
        <v>15</v>
      </c>
      <c r="C90" s="6" t="s">
        <v>16</v>
      </c>
      <c r="E90" s="6">
        <v>6</v>
      </c>
      <c r="F90" s="6">
        <v>704</v>
      </c>
      <c r="G90" s="6">
        <v>82</v>
      </c>
    </row>
    <row r="91" spans="1:10">
      <c r="A91" s="6" t="s">
        <v>33</v>
      </c>
      <c r="B91" s="6" t="s">
        <v>15</v>
      </c>
      <c r="C91" s="6" t="s">
        <v>16</v>
      </c>
      <c r="F91" s="6">
        <v>780.6</v>
      </c>
      <c r="G91" s="6">
        <v>44.7</v>
      </c>
    </row>
    <row r="92" spans="1:10">
      <c r="A92" s="6" t="s">
        <v>33</v>
      </c>
      <c r="B92" s="6" t="s">
        <v>15</v>
      </c>
      <c r="C92" s="6" t="s">
        <v>16</v>
      </c>
      <c r="E92" s="6">
        <v>4.0999999999999996</v>
      </c>
      <c r="F92" s="6">
        <v>688.5</v>
      </c>
      <c r="H92" s="6">
        <v>4635.442629937399</v>
      </c>
      <c r="I92" s="6">
        <v>88.656411238739224</v>
      </c>
    </row>
    <row r="93" spans="1:10">
      <c r="A93" s="6" t="s">
        <v>33</v>
      </c>
      <c r="B93" s="6" t="s">
        <v>15</v>
      </c>
      <c r="C93" s="6" t="s">
        <v>16</v>
      </c>
      <c r="F93" s="6">
        <v>932.8</v>
      </c>
      <c r="H93" s="6">
        <v>607.83798771070963</v>
      </c>
      <c r="I93" s="6">
        <v>42.312837849231606</v>
      </c>
      <c r="J93" s="6">
        <v>1.2164896104023313</v>
      </c>
    </row>
    <row r="94" spans="1:10">
      <c r="A94" s="6" t="s">
        <v>33</v>
      </c>
      <c r="B94" s="6" t="s">
        <v>15</v>
      </c>
      <c r="C94" s="6" t="s">
        <v>16</v>
      </c>
      <c r="E94" s="6">
        <v>1.4</v>
      </c>
      <c r="F94" s="6">
        <v>349.5</v>
      </c>
      <c r="H94" s="6">
        <v>2250.4635004763354</v>
      </c>
      <c r="I94" s="6">
        <v>73.731957175446979</v>
      </c>
      <c r="J94" s="6">
        <v>1.2043004182210877</v>
      </c>
    </row>
    <row r="95" spans="1:10">
      <c r="A95" s="6" t="s">
        <v>33</v>
      </c>
      <c r="B95" s="6" t="s">
        <v>15</v>
      </c>
      <c r="C95" s="6" t="s">
        <v>16</v>
      </c>
      <c r="E95" s="6">
        <v>1.9</v>
      </c>
      <c r="F95" s="6">
        <v>579.70000000000005</v>
      </c>
      <c r="H95" s="6">
        <v>5594.924507649861</v>
      </c>
      <c r="I95" s="6">
        <v>50.518609693197384</v>
      </c>
      <c r="J95" s="6">
        <v>3.5285583697853413</v>
      </c>
    </row>
    <row r="96" spans="1:10">
      <c r="A96" s="6" t="s">
        <v>33</v>
      </c>
      <c r="B96" s="6" t="s">
        <v>15</v>
      </c>
      <c r="C96" s="6" t="s">
        <v>16</v>
      </c>
      <c r="E96" s="6">
        <v>1.6</v>
      </c>
      <c r="F96" s="6">
        <v>335.3</v>
      </c>
    </row>
    <row r="97" spans="1:10">
      <c r="A97" s="6" t="s">
        <v>33</v>
      </c>
      <c r="B97" s="6" t="s">
        <v>15</v>
      </c>
      <c r="C97" s="6" t="s">
        <v>17</v>
      </c>
      <c r="D97" s="6">
        <v>42</v>
      </c>
      <c r="F97" s="6">
        <v>564.6</v>
      </c>
      <c r="G97" s="6">
        <v>34.799999999999997</v>
      </c>
    </row>
    <row r="98" spans="1:10">
      <c r="A98" s="6" t="s">
        <v>33</v>
      </c>
      <c r="B98" s="6" t="s">
        <v>15</v>
      </c>
      <c r="C98" s="6" t="s">
        <v>17</v>
      </c>
      <c r="D98" s="6">
        <v>21</v>
      </c>
      <c r="F98" s="6">
        <v>525</v>
      </c>
      <c r="G98" s="6">
        <v>32.9</v>
      </c>
    </row>
    <row r="99" spans="1:10">
      <c r="A99" s="6" t="s">
        <v>33</v>
      </c>
      <c r="B99" s="6" t="s">
        <v>15</v>
      </c>
      <c r="C99" s="6" t="s">
        <v>17</v>
      </c>
      <c r="D99" s="6">
        <v>17</v>
      </c>
      <c r="F99" s="6">
        <v>635.70000000000005</v>
      </c>
      <c r="G99" s="6">
        <v>38.299999999999997</v>
      </c>
    </row>
    <row r="100" spans="1:10">
      <c r="A100" s="6" t="s">
        <v>33</v>
      </c>
      <c r="B100" s="6" t="s">
        <v>15</v>
      </c>
      <c r="C100" s="6" t="s">
        <v>17</v>
      </c>
      <c r="D100" s="6">
        <v>22</v>
      </c>
      <c r="F100" s="6">
        <v>815</v>
      </c>
      <c r="G100" s="6">
        <v>48.9</v>
      </c>
    </row>
    <row r="101" spans="1:10">
      <c r="A101" s="6" t="s">
        <v>33</v>
      </c>
      <c r="B101" s="6" t="s">
        <v>15</v>
      </c>
      <c r="C101" s="6" t="s">
        <v>17</v>
      </c>
      <c r="D101" s="6">
        <v>37</v>
      </c>
      <c r="F101" s="6">
        <v>796.5</v>
      </c>
      <c r="G101" s="6">
        <v>49.7</v>
      </c>
    </row>
    <row r="102" spans="1:10">
      <c r="A102" s="6" t="s">
        <v>33</v>
      </c>
      <c r="B102" s="6" t="s">
        <v>15</v>
      </c>
      <c r="C102" s="6" t="s">
        <v>17</v>
      </c>
      <c r="D102" s="6">
        <v>24</v>
      </c>
      <c r="F102" s="6">
        <v>522.9</v>
      </c>
      <c r="G102" s="6">
        <v>32.799999999999997</v>
      </c>
    </row>
    <row r="103" spans="1:10">
      <c r="A103" s="6" t="s">
        <v>33</v>
      </c>
      <c r="B103" s="6" t="s">
        <v>15</v>
      </c>
      <c r="C103" s="6" t="s">
        <v>17</v>
      </c>
      <c r="D103" s="6">
        <v>14</v>
      </c>
      <c r="F103" s="6">
        <v>273.7</v>
      </c>
      <c r="H103" s="6">
        <v>1314.2193323403562</v>
      </c>
      <c r="I103" s="6">
        <v>87.316569911114826</v>
      </c>
      <c r="J103" s="6">
        <v>2.021215916398301</v>
      </c>
    </row>
    <row r="104" spans="1:10">
      <c r="A104" s="6" t="s">
        <v>33</v>
      </c>
      <c r="B104" s="6" t="s">
        <v>15</v>
      </c>
      <c r="C104" s="6" t="s">
        <v>17</v>
      </c>
      <c r="D104" s="6">
        <v>27</v>
      </c>
      <c r="F104" s="6">
        <v>628.1</v>
      </c>
      <c r="H104" s="6">
        <v>1035.4133958130772</v>
      </c>
      <c r="I104" s="6">
        <v>42.048504457166509</v>
      </c>
      <c r="J104" s="6">
        <v>1.2831651485353976</v>
      </c>
    </row>
    <row r="105" spans="1:10">
      <c r="A105" s="6" t="s">
        <v>33</v>
      </c>
      <c r="B105" s="6" t="s">
        <v>15</v>
      </c>
      <c r="C105" s="6" t="s">
        <v>17</v>
      </c>
      <c r="D105" s="6">
        <v>32</v>
      </c>
      <c r="F105" s="6">
        <v>462.6</v>
      </c>
      <c r="H105" s="6">
        <v>615.07221834178301</v>
      </c>
      <c r="I105" s="6">
        <v>65.777647941075699</v>
      </c>
      <c r="J105" s="6">
        <v>0.56306255458812748</v>
      </c>
    </row>
    <row r="106" spans="1:10">
      <c r="A106" s="6" t="s">
        <v>33</v>
      </c>
      <c r="B106" s="6" t="s">
        <v>15</v>
      </c>
      <c r="C106" s="6" t="s">
        <v>17</v>
      </c>
      <c r="D106" s="6">
        <v>18</v>
      </c>
      <c r="F106" s="6">
        <v>410.7</v>
      </c>
      <c r="H106" s="6">
        <v>1083.0718216179205</v>
      </c>
      <c r="I106" s="6">
        <v>52.222003605501882</v>
      </c>
      <c r="J106" s="6">
        <v>0.25443370894811235</v>
      </c>
    </row>
    <row r="107" spans="1:10">
      <c r="A107" s="6" t="s">
        <v>33</v>
      </c>
      <c r="B107" s="6" t="s">
        <v>15</v>
      </c>
      <c r="C107" s="6" t="s">
        <v>17</v>
      </c>
      <c r="D107" s="6">
        <v>36</v>
      </c>
      <c r="F107" s="6">
        <v>543.5</v>
      </c>
      <c r="H107" s="6">
        <v>1663.1164325815971</v>
      </c>
      <c r="I107" s="6">
        <v>100.73419253089281</v>
      </c>
      <c r="J107" s="6">
        <v>2.2452437022615892</v>
      </c>
    </row>
    <row r="108" spans="1:10">
      <c r="A108" s="6" t="s">
        <v>33</v>
      </c>
      <c r="B108" s="6" t="s">
        <v>15</v>
      </c>
      <c r="C108" s="6" t="s">
        <v>17</v>
      </c>
      <c r="D108" s="6">
        <v>13</v>
      </c>
      <c r="F108" s="6">
        <v>706.2</v>
      </c>
      <c r="H108" s="6">
        <v>1355.8269825449138</v>
      </c>
      <c r="I108" s="6">
        <v>51.633071976727059</v>
      </c>
      <c r="J108" s="6">
        <v>0.85015624724042504</v>
      </c>
    </row>
    <row r="109" spans="1:10">
      <c r="A109" s="6" t="s">
        <v>33</v>
      </c>
      <c r="B109" s="6" t="s">
        <v>15</v>
      </c>
      <c r="C109" s="6" t="s">
        <v>2</v>
      </c>
      <c r="D109" s="6">
        <v>15</v>
      </c>
      <c r="E109" s="6">
        <v>1.7</v>
      </c>
      <c r="F109" s="6">
        <v>809.5</v>
      </c>
      <c r="G109" s="6">
        <v>51.9</v>
      </c>
    </row>
    <row r="110" spans="1:10">
      <c r="A110" s="6" t="s">
        <v>33</v>
      </c>
      <c r="B110" s="6" t="s">
        <v>15</v>
      </c>
      <c r="C110" s="6" t="s">
        <v>2</v>
      </c>
      <c r="D110" s="6">
        <v>18</v>
      </c>
      <c r="E110" s="6">
        <v>1</v>
      </c>
      <c r="F110" s="6">
        <v>619.5</v>
      </c>
      <c r="G110" s="6">
        <v>41</v>
      </c>
    </row>
    <row r="111" spans="1:10">
      <c r="A111" s="6" t="s">
        <v>33</v>
      </c>
      <c r="B111" s="6" t="s">
        <v>15</v>
      </c>
      <c r="C111" s="6" t="s">
        <v>2</v>
      </c>
      <c r="D111" s="6">
        <v>19</v>
      </c>
      <c r="E111" s="6">
        <v>3.3</v>
      </c>
      <c r="F111" s="6">
        <v>418.4</v>
      </c>
      <c r="G111" s="6">
        <v>32.200000000000003</v>
      </c>
    </row>
    <row r="112" spans="1:10">
      <c r="A112" s="6" t="s">
        <v>33</v>
      </c>
      <c r="B112" s="6" t="s">
        <v>15</v>
      </c>
      <c r="C112" s="6" t="s">
        <v>2</v>
      </c>
      <c r="D112" s="6">
        <v>29</v>
      </c>
      <c r="E112" s="6">
        <v>3</v>
      </c>
      <c r="F112" s="6">
        <v>482.2</v>
      </c>
      <c r="G112" s="6">
        <v>41.4</v>
      </c>
    </row>
    <row r="113" spans="1:10">
      <c r="A113" s="6" t="s">
        <v>33</v>
      </c>
      <c r="B113" s="6" t="s">
        <v>15</v>
      </c>
      <c r="C113" s="6" t="s">
        <v>2</v>
      </c>
      <c r="D113" s="6">
        <v>13</v>
      </c>
      <c r="E113" s="6">
        <v>4</v>
      </c>
      <c r="F113" s="6">
        <v>707.5</v>
      </c>
      <c r="G113" s="6">
        <v>45.8</v>
      </c>
    </row>
    <row r="114" spans="1:10">
      <c r="A114" s="6" t="s">
        <v>33</v>
      </c>
      <c r="B114" s="6" t="s">
        <v>15</v>
      </c>
      <c r="C114" s="6" t="s">
        <v>2</v>
      </c>
      <c r="D114" s="6">
        <v>21</v>
      </c>
      <c r="E114" s="6">
        <v>1.5</v>
      </c>
      <c r="F114" s="6">
        <v>719.1</v>
      </c>
      <c r="G114" s="6">
        <v>43.2</v>
      </c>
    </row>
    <row r="115" spans="1:10">
      <c r="A115" s="6" t="s">
        <v>33</v>
      </c>
      <c r="B115" s="6" t="s">
        <v>15</v>
      </c>
      <c r="C115" s="6" t="s">
        <v>2</v>
      </c>
      <c r="D115" s="6">
        <v>12</v>
      </c>
      <c r="E115" s="6">
        <v>10.199999999999999</v>
      </c>
      <c r="F115" s="6">
        <v>784</v>
      </c>
      <c r="H115" s="6">
        <v>1864.1135568399786</v>
      </c>
      <c r="I115" s="6">
        <v>52.176911337080796</v>
      </c>
      <c r="J115" s="6">
        <v>0.49057934645789275</v>
      </c>
    </row>
    <row r="116" spans="1:10">
      <c r="A116" s="6" t="s">
        <v>33</v>
      </c>
      <c r="B116" s="6" t="s">
        <v>15</v>
      </c>
      <c r="C116" s="6" t="s">
        <v>2</v>
      </c>
      <c r="D116" s="6">
        <v>13</v>
      </c>
      <c r="F116" s="6">
        <v>473.4</v>
      </c>
      <c r="H116" s="6">
        <v>412.82448459657263</v>
      </c>
      <c r="I116" s="6">
        <v>38.432109184654962</v>
      </c>
      <c r="J116" s="6">
        <v>2.0144516723591148</v>
      </c>
    </row>
    <row r="117" spans="1:10">
      <c r="A117" s="6" t="s">
        <v>33</v>
      </c>
      <c r="B117" s="6" t="s">
        <v>15</v>
      </c>
      <c r="C117" s="6" t="s">
        <v>2</v>
      </c>
      <c r="D117" s="6">
        <v>16</v>
      </c>
      <c r="E117" s="6">
        <v>2.4</v>
      </c>
      <c r="F117" s="6">
        <v>336.2</v>
      </c>
      <c r="H117" s="6">
        <v>1774.9435466230577</v>
      </c>
      <c r="I117" s="6">
        <v>62.30278848380204</v>
      </c>
      <c r="J117" s="6">
        <v>0.54777145729502297</v>
      </c>
    </row>
    <row r="118" spans="1:10">
      <c r="A118" s="6" t="s">
        <v>33</v>
      </c>
      <c r="B118" s="6" t="s">
        <v>15</v>
      </c>
      <c r="C118" s="6" t="s">
        <v>2</v>
      </c>
      <c r="D118" s="6">
        <v>21</v>
      </c>
      <c r="E118" s="6">
        <v>4.8</v>
      </c>
      <c r="F118" s="6">
        <v>426.3</v>
      </c>
      <c r="H118" s="6">
        <v>1533.131265105792</v>
      </c>
      <c r="I118" s="6">
        <v>71.075329216434085</v>
      </c>
      <c r="J118" s="6">
        <v>1.1829845446108267</v>
      </c>
    </row>
    <row r="119" spans="1:10">
      <c r="A119" s="6" t="s">
        <v>33</v>
      </c>
      <c r="B119" s="6" t="s">
        <v>15</v>
      </c>
      <c r="C119" s="6" t="s">
        <v>2</v>
      </c>
      <c r="D119" s="6">
        <v>15</v>
      </c>
      <c r="F119" s="6">
        <v>1032</v>
      </c>
      <c r="H119" s="6">
        <v>1011.7203967312747</v>
      </c>
      <c r="I119" s="6">
        <v>41.860724348809413</v>
      </c>
      <c r="J119" s="6">
        <v>0.47376321291281359</v>
      </c>
    </row>
    <row r="120" spans="1:10">
      <c r="A120" s="6" t="s">
        <v>34</v>
      </c>
      <c r="B120" s="6" t="s">
        <v>15</v>
      </c>
      <c r="C120" s="6" t="s">
        <v>6</v>
      </c>
      <c r="F120" s="6">
        <v>858.6</v>
      </c>
      <c r="G120" s="6">
        <v>55.1</v>
      </c>
    </row>
    <row r="121" spans="1:10">
      <c r="A121" s="6" t="s">
        <v>34</v>
      </c>
      <c r="B121" s="6" t="s">
        <v>15</v>
      </c>
      <c r="C121" s="6" t="s">
        <v>6</v>
      </c>
      <c r="F121" s="6">
        <v>601.79999999999995</v>
      </c>
      <c r="G121" s="6">
        <v>43.7</v>
      </c>
    </row>
    <row r="122" spans="1:10">
      <c r="A122" s="6" t="s">
        <v>34</v>
      </c>
      <c r="B122" s="6" t="s">
        <v>15</v>
      </c>
      <c r="C122" s="6" t="s">
        <v>6</v>
      </c>
      <c r="F122" s="6">
        <v>856.4</v>
      </c>
      <c r="G122" s="6">
        <v>61.8</v>
      </c>
    </row>
    <row r="123" spans="1:10">
      <c r="A123" s="6" t="s">
        <v>34</v>
      </c>
      <c r="B123" s="6" t="s">
        <v>15</v>
      </c>
      <c r="C123" s="6" t="s">
        <v>6</v>
      </c>
      <c r="F123" s="6">
        <v>870.9</v>
      </c>
      <c r="H123" s="6">
        <v>1572.374885872644</v>
      </c>
      <c r="I123" s="6">
        <v>50.543479895537565</v>
      </c>
      <c r="J123" s="6">
        <v>0.80917061428265169</v>
      </c>
    </row>
    <row r="124" spans="1:10">
      <c r="A124" s="6" t="s">
        <v>34</v>
      </c>
      <c r="B124" s="6" t="s">
        <v>15</v>
      </c>
      <c r="C124" s="6" t="s">
        <v>6</v>
      </c>
      <c r="F124" s="6">
        <v>496.1</v>
      </c>
      <c r="H124" s="6">
        <v>1639.6246390126089</v>
      </c>
      <c r="I124" s="6">
        <v>41.018500075529552</v>
      </c>
      <c r="J124" s="6">
        <v>1.9074066767063955</v>
      </c>
    </row>
    <row r="125" spans="1:10">
      <c r="A125" s="6" t="s">
        <v>34</v>
      </c>
      <c r="B125" s="6" t="s">
        <v>15</v>
      </c>
      <c r="C125" s="6" t="s">
        <v>6</v>
      </c>
      <c r="F125" s="6">
        <v>499.2</v>
      </c>
      <c r="H125" s="6">
        <v>1679.7554560716735</v>
      </c>
      <c r="I125" s="6">
        <v>38.857231501427179</v>
      </c>
      <c r="J125" s="6">
        <v>0.42935799784924483</v>
      </c>
    </row>
    <row r="126" spans="1:10">
      <c r="A126" s="6" t="s">
        <v>34</v>
      </c>
      <c r="B126" s="6" t="s">
        <v>15</v>
      </c>
      <c r="C126" s="6" t="s">
        <v>16</v>
      </c>
      <c r="E126" s="6">
        <v>6</v>
      </c>
      <c r="F126" s="6">
        <v>440.2</v>
      </c>
      <c r="G126" s="6">
        <v>30.2</v>
      </c>
    </row>
    <row r="127" spans="1:10">
      <c r="A127" s="6" t="s">
        <v>34</v>
      </c>
      <c r="B127" s="6" t="s">
        <v>15</v>
      </c>
      <c r="C127" s="6" t="s">
        <v>16</v>
      </c>
      <c r="E127" s="6">
        <v>13.6</v>
      </c>
      <c r="F127" s="6">
        <v>560.6</v>
      </c>
      <c r="G127" s="6">
        <v>39.200000000000003</v>
      </c>
    </row>
    <row r="128" spans="1:10">
      <c r="A128" s="6" t="s">
        <v>34</v>
      </c>
      <c r="B128" s="6" t="s">
        <v>15</v>
      </c>
      <c r="C128" s="6" t="s">
        <v>16</v>
      </c>
      <c r="E128" s="6">
        <v>4.5</v>
      </c>
      <c r="F128" s="6">
        <v>294.8</v>
      </c>
      <c r="G128" s="6">
        <v>20.8</v>
      </c>
    </row>
    <row r="129" spans="1:10">
      <c r="A129" s="6" t="s">
        <v>34</v>
      </c>
      <c r="B129" s="6" t="s">
        <v>15</v>
      </c>
      <c r="C129" s="6" t="s">
        <v>16</v>
      </c>
      <c r="E129" s="6">
        <v>5.6</v>
      </c>
      <c r="F129" s="6">
        <v>468.6</v>
      </c>
      <c r="G129" s="6">
        <v>59.5</v>
      </c>
    </row>
    <row r="130" spans="1:10">
      <c r="A130" s="6" t="s">
        <v>34</v>
      </c>
      <c r="B130" s="6" t="s">
        <v>15</v>
      </c>
      <c r="C130" s="6" t="s">
        <v>16</v>
      </c>
      <c r="E130" s="6">
        <v>14.2</v>
      </c>
      <c r="F130" s="6">
        <v>579.9</v>
      </c>
      <c r="G130" s="6">
        <v>43.2</v>
      </c>
    </row>
    <row r="131" spans="1:10">
      <c r="A131" s="6" t="s">
        <v>34</v>
      </c>
      <c r="B131" s="6" t="s">
        <v>15</v>
      </c>
      <c r="C131" s="6" t="s">
        <v>16</v>
      </c>
      <c r="E131" s="6">
        <v>7.8</v>
      </c>
      <c r="F131" s="6">
        <v>668.1</v>
      </c>
      <c r="G131" s="6">
        <v>49</v>
      </c>
    </row>
    <row r="132" spans="1:10">
      <c r="A132" s="6" t="s">
        <v>34</v>
      </c>
      <c r="B132" s="6" t="s">
        <v>15</v>
      </c>
      <c r="C132" s="6" t="s">
        <v>16</v>
      </c>
      <c r="E132" s="6">
        <v>6.5</v>
      </c>
      <c r="F132" s="6">
        <v>745.3</v>
      </c>
      <c r="H132" s="6">
        <v>7153.9665406930526</v>
      </c>
      <c r="I132" s="6">
        <v>51.900309397045454</v>
      </c>
      <c r="J132" s="6">
        <v>3.0737166820217952</v>
      </c>
    </row>
    <row r="133" spans="1:10">
      <c r="A133" s="6" t="s">
        <v>34</v>
      </c>
      <c r="B133" s="6" t="s">
        <v>15</v>
      </c>
      <c r="C133" s="6" t="s">
        <v>16</v>
      </c>
      <c r="E133" s="6">
        <v>13.7</v>
      </c>
      <c r="F133" s="6">
        <v>688.7</v>
      </c>
      <c r="H133" s="6">
        <v>7138.3872288632929</v>
      </c>
      <c r="I133" s="6">
        <v>72.354008455719182</v>
      </c>
      <c r="J133" s="6">
        <v>2.2590717744461957</v>
      </c>
    </row>
    <row r="134" spans="1:10">
      <c r="A134" s="6" t="s">
        <v>34</v>
      </c>
      <c r="B134" s="6" t="s">
        <v>15</v>
      </c>
      <c r="C134" s="6" t="s">
        <v>16</v>
      </c>
      <c r="F134" s="6">
        <v>825.9</v>
      </c>
      <c r="H134" s="6">
        <v>4049.8820812758554</v>
      </c>
      <c r="I134" s="6">
        <v>48.909979108856284</v>
      </c>
      <c r="J134" s="6">
        <v>1.8193884662421054</v>
      </c>
    </row>
    <row r="135" spans="1:10">
      <c r="A135" s="6" t="s">
        <v>34</v>
      </c>
      <c r="B135" s="6" t="s">
        <v>15</v>
      </c>
      <c r="C135" s="6" t="s">
        <v>16</v>
      </c>
      <c r="E135" s="6">
        <v>1.6</v>
      </c>
      <c r="F135" s="6">
        <v>501.3</v>
      </c>
      <c r="H135" s="6">
        <v>7635.303368827369</v>
      </c>
      <c r="I135" s="6">
        <v>64.817875903326865</v>
      </c>
      <c r="J135" s="6">
        <v>2.5088031392770329</v>
      </c>
    </row>
    <row r="136" spans="1:10">
      <c r="A136" s="6" t="s">
        <v>34</v>
      </c>
      <c r="B136" s="6" t="s">
        <v>15</v>
      </c>
      <c r="C136" s="6" t="s">
        <v>16</v>
      </c>
      <c r="E136" s="6">
        <v>16.8</v>
      </c>
      <c r="F136" s="6">
        <v>494.3</v>
      </c>
      <c r="H136" s="6">
        <v>10061.243460457597</v>
      </c>
      <c r="I136" s="6">
        <v>61.197810379442252</v>
      </c>
      <c r="J136" s="6">
        <v>2.6792340711297582</v>
      </c>
    </row>
    <row r="137" spans="1:10">
      <c r="A137" s="6" t="s">
        <v>34</v>
      </c>
      <c r="B137" s="6" t="s">
        <v>15</v>
      </c>
      <c r="C137" s="6" t="s">
        <v>17</v>
      </c>
      <c r="D137" s="6">
        <v>14</v>
      </c>
      <c r="F137" s="6">
        <v>841.2</v>
      </c>
      <c r="G137" s="6">
        <v>51.9</v>
      </c>
    </row>
    <row r="138" spans="1:10">
      <c r="A138" s="6" t="s">
        <v>34</v>
      </c>
      <c r="B138" s="6" t="s">
        <v>15</v>
      </c>
      <c r="C138" s="6" t="s">
        <v>17</v>
      </c>
      <c r="D138" s="6">
        <v>15</v>
      </c>
      <c r="F138" s="6">
        <v>449.6</v>
      </c>
      <c r="G138" s="6">
        <v>31.6</v>
      </c>
    </row>
    <row r="139" spans="1:10">
      <c r="A139" s="6" t="s">
        <v>34</v>
      </c>
      <c r="B139" s="6" t="s">
        <v>15</v>
      </c>
      <c r="C139" s="6" t="s">
        <v>17</v>
      </c>
      <c r="D139" s="6">
        <v>8</v>
      </c>
      <c r="F139" s="6">
        <v>727.4</v>
      </c>
      <c r="G139" s="6">
        <v>49.3</v>
      </c>
    </row>
    <row r="140" spans="1:10">
      <c r="A140" s="6" t="s">
        <v>34</v>
      </c>
      <c r="B140" s="6" t="s">
        <v>15</v>
      </c>
      <c r="C140" s="6" t="s">
        <v>17</v>
      </c>
      <c r="D140" s="6">
        <v>16</v>
      </c>
      <c r="F140" s="6">
        <v>291.8</v>
      </c>
      <c r="G140" s="6">
        <v>19</v>
      </c>
    </row>
    <row r="141" spans="1:10">
      <c r="A141" s="6" t="s">
        <v>34</v>
      </c>
      <c r="B141" s="6" t="s">
        <v>15</v>
      </c>
      <c r="C141" s="6" t="s">
        <v>17</v>
      </c>
      <c r="D141" s="6">
        <v>31</v>
      </c>
      <c r="F141" s="6">
        <v>624.29999999999995</v>
      </c>
      <c r="G141" s="6">
        <v>41.6</v>
      </c>
    </row>
    <row r="142" spans="1:10">
      <c r="A142" s="6" t="s">
        <v>34</v>
      </c>
      <c r="B142" s="6" t="s">
        <v>15</v>
      </c>
      <c r="C142" s="6" t="s">
        <v>17</v>
      </c>
      <c r="D142" s="6">
        <v>19</v>
      </c>
      <c r="F142" s="6">
        <v>533.1</v>
      </c>
      <c r="H142" s="6">
        <v>2598.4445198975527</v>
      </c>
      <c r="I142" s="6">
        <v>42.790236993182226</v>
      </c>
      <c r="J142" s="6">
        <v>1.5032779696494101</v>
      </c>
    </row>
    <row r="143" spans="1:10">
      <c r="A143" s="6" t="s">
        <v>34</v>
      </c>
      <c r="B143" s="6" t="s">
        <v>15</v>
      </c>
      <c r="C143" s="6" t="s">
        <v>17</v>
      </c>
      <c r="D143" s="6">
        <v>33</v>
      </c>
      <c r="F143" s="6">
        <v>734.6</v>
      </c>
      <c r="H143" s="6">
        <v>3709.720061884494</v>
      </c>
      <c r="I143" s="6">
        <v>46.795118684886766</v>
      </c>
      <c r="J143" s="6">
        <v>1.5168972061370412</v>
      </c>
    </row>
    <row r="144" spans="1:10">
      <c r="A144" s="6" t="s">
        <v>34</v>
      </c>
      <c r="B144" s="6" t="s">
        <v>15</v>
      </c>
      <c r="C144" s="6" t="s">
        <v>17</v>
      </c>
      <c r="D144" s="6">
        <v>16</v>
      </c>
      <c r="F144" s="6">
        <v>676.4</v>
      </c>
      <c r="H144" s="6">
        <v>3526.3256344735023</v>
      </c>
      <c r="I144" s="6">
        <v>53.141514611733193</v>
      </c>
      <c r="J144" s="6">
        <v>4.5589288852924446</v>
      </c>
    </row>
    <row r="145" spans="1:10">
      <c r="A145" s="6" t="s">
        <v>34</v>
      </c>
      <c r="B145" s="6" t="s">
        <v>15</v>
      </c>
      <c r="C145" s="6" t="s">
        <v>17</v>
      </c>
      <c r="D145" s="6">
        <v>21</v>
      </c>
      <c r="F145" s="6">
        <v>417.3</v>
      </c>
      <c r="H145" s="6">
        <v>3466.6913811970244</v>
      </c>
      <c r="I145" s="6">
        <v>56.415594012165514</v>
      </c>
      <c r="J145" s="6">
        <v>2.1819839053991013</v>
      </c>
    </row>
    <row r="146" spans="1:10">
      <c r="A146" s="6" t="s">
        <v>34</v>
      </c>
      <c r="B146" s="6" t="s">
        <v>15</v>
      </c>
      <c r="C146" s="6" t="s">
        <v>17</v>
      </c>
      <c r="D146" s="6">
        <v>19</v>
      </c>
      <c r="F146" s="6">
        <v>453.5</v>
      </c>
      <c r="H146" s="6">
        <v>2268.215106941665</v>
      </c>
      <c r="I146" s="6">
        <v>64.020386768938394</v>
      </c>
      <c r="J146" s="6">
        <v>1.2059431448493674</v>
      </c>
    </row>
    <row r="147" spans="1:10">
      <c r="A147" s="6" t="s">
        <v>34</v>
      </c>
      <c r="B147" s="6" t="s">
        <v>15</v>
      </c>
      <c r="C147" s="6" t="s">
        <v>2</v>
      </c>
      <c r="D147" s="6">
        <v>16</v>
      </c>
      <c r="E147" s="6">
        <v>5.3</v>
      </c>
      <c r="F147" s="6">
        <v>798.4</v>
      </c>
      <c r="G147" s="6">
        <v>52.7</v>
      </c>
    </row>
    <row r="148" spans="1:10">
      <c r="A148" s="6" t="s">
        <v>34</v>
      </c>
      <c r="B148" s="6" t="s">
        <v>15</v>
      </c>
      <c r="C148" s="6" t="s">
        <v>2</v>
      </c>
      <c r="D148" s="6">
        <v>22</v>
      </c>
      <c r="E148" s="6">
        <v>5.2</v>
      </c>
      <c r="F148" s="6">
        <v>882.6</v>
      </c>
      <c r="G148" s="6">
        <v>59.4</v>
      </c>
    </row>
    <row r="149" spans="1:10">
      <c r="A149" s="6" t="s">
        <v>34</v>
      </c>
      <c r="B149" s="6" t="s">
        <v>15</v>
      </c>
      <c r="C149" s="6" t="s">
        <v>2</v>
      </c>
      <c r="D149" s="6">
        <v>14</v>
      </c>
      <c r="F149" s="6">
        <v>1146</v>
      </c>
      <c r="G149" s="6">
        <v>69.400000000000006</v>
      </c>
    </row>
    <row r="150" spans="1:10">
      <c r="A150" s="6" t="s">
        <v>34</v>
      </c>
      <c r="B150" s="6" t="s">
        <v>15</v>
      </c>
      <c r="C150" s="6" t="s">
        <v>2</v>
      </c>
      <c r="D150" s="6">
        <v>19</v>
      </c>
      <c r="E150" s="6">
        <v>10.4</v>
      </c>
      <c r="F150" s="6">
        <v>803.8</v>
      </c>
      <c r="G150" s="6">
        <v>56.5</v>
      </c>
    </row>
    <row r="151" spans="1:10">
      <c r="A151" s="6" t="s">
        <v>34</v>
      </c>
      <c r="B151" s="6" t="s">
        <v>15</v>
      </c>
      <c r="C151" s="6" t="s">
        <v>2</v>
      </c>
      <c r="D151" s="6">
        <v>20</v>
      </c>
      <c r="E151" s="6">
        <v>0.8</v>
      </c>
      <c r="F151" s="6">
        <v>937.4</v>
      </c>
      <c r="G151" s="6">
        <v>58.3</v>
      </c>
    </row>
    <row r="152" spans="1:10">
      <c r="A152" s="6" t="s">
        <v>34</v>
      </c>
      <c r="B152" s="6" t="s">
        <v>15</v>
      </c>
      <c r="C152" s="6" t="s">
        <v>2</v>
      </c>
      <c r="D152" s="6">
        <v>9</v>
      </c>
      <c r="E152" s="6">
        <v>2.2000000000000002</v>
      </c>
      <c r="F152" s="6">
        <v>889.6</v>
      </c>
      <c r="G152" s="6">
        <v>58.8</v>
      </c>
    </row>
    <row r="153" spans="1:10">
      <c r="A153" s="6" t="s">
        <v>34</v>
      </c>
      <c r="B153" s="6" t="s">
        <v>15</v>
      </c>
      <c r="C153" s="6" t="s">
        <v>2</v>
      </c>
      <c r="D153" s="6">
        <v>13</v>
      </c>
      <c r="E153" s="6">
        <v>5.0999999999999996</v>
      </c>
      <c r="F153" s="6">
        <v>543.1</v>
      </c>
      <c r="H153" s="6">
        <v>3927.0107505181381</v>
      </c>
      <c r="I153" s="6">
        <v>50.185329265788397</v>
      </c>
      <c r="J153" s="6">
        <v>2.6454811493601404</v>
      </c>
    </row>
    <row r="154" spans="1:10">
      <c r="A154" s="6" t="s">
        <v>34</v>
      </c>
      <c r="B154" s="6" t="s">
        <v>15</v>
      </c>
      <c r="C154" s="6" t="s">
        <v>2</v>
      </c>
      <c r="D154" s="6">
        <v>13</v>
      </c>
      <c r="E154" s="6">
        <v>0.9</v>
      </c>
      <c r="F154" s="6">
        <v>553.4</v>
      </c>
      <c r="H154" s="6">
        <v>2908.5864148494461</v>
      </c>
      <c r="I154" s="6">
        <v>70.223655925440127</v>
      </c>
      <c r="J154" s="6">
        <v>1.6189611789511023</v>
      </c>
    </row>
    <row r="155" spans="1:10">
      <c r="A155" s="6" t="s">
        <v>34</v>
      </c>
      <c r="B155" s="6" t="s">
        <v>15</v>
      </c>
      <c r="C155" s="6" t="s">
        <v>2</v>
      </c>
      <c r="D155" s="6">
        <v>10</v>
      </c>
      <c r="E155" s="6">
        <v>2.9</v>
      </c>
      <c r="F155" s="6">
        <v>824.5</v>
      </c>
      <c r="H155" s="6">
        <v>4303.1126381732329</v>
      </c>
      <c r="I155" s="6">
        <v>40.075336925394197</v>
      </c>
      <c r="J155" s="6">
        <v>2.974072748151416</v>
      </c>
    </row>
    <row r="156" spans="1:10">
      <c r="A156" s="6" t="s">
        <v>34</v>
      </c>
      <c r="B156" s="6" t="s">
        <v>15</v>
      </c>
      <c r="C156" s="6" t="s">
        <v>2</v>
      </c>
      <c r="D156" s="6">
        <v>24</v>
      </c>
      <c r="E156" s="6">
        <v>5.2</v>
      </c>
      <c r="F156" s="6">
        <v>940.1</v>
      </c>
      <c r="H156" s="6">
        <v>3690.306320209424</v>
      </c>
      <c r="I156" s="6">
        <v>36.136649352282177</v>
      </c>
      <c r="J156" s="6">
        <v>2.6490560663821143</v>
      </c>
    </row>
    <row r="157" spans="1:10">
      <c r="A157" s="6" t="s">
        <v>34</v>
      </c>
      <c r="B157" s="6" t="s">
        <v>15</v>
      </c>
      <c r="C157" s="6" t="s">
        <v>2</v>
      </c>
      <c r="D157" s="6">
        <v>12</v>
      </c>
      <c r="E157" s="6">
        <v>0.4</v>
      </c>
      <c r="F157" s="6">
        <v>576.70000000000005</v>
      </c>
      <c r="H157" s="6">
        <v>3913.7013283552965</v>
      </c>
      <c r="I157" s="6">
        <v>56.84232107726271</v>
      </c>
      <c r="J157" s="6">
        <v>3.3305176358630346</v>
      </c>
    </row>
    <row r="160" spans="1:10" ht="13.8" customHeight="1"/>
  </sheetData>
  <autoFilter ref="B1:J157" xr:uid="{8B5600E7-F73F-4E74-BA93-5D6BE0A88282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127D-CBBD-4861-B86C-F51E926D663E}">
  <dimension ref="A2:O27"/>
  <sheetViews>
    <sheetView workbookViewId="0">
      <selection activeCell="B21" sqref="B21"/>
    </sheetView>
  </sheetViews>
  <sheetFormatPr defaultRowHeight="14.4"/>
  <sheetData>
    <row r="2" spans="1:15">
      <c r="B2" t="s">
        <v>4</v>
      </c>
      <c r="C2" t="s">
        <v>5</v>
      </c>
      <c r="F2" t="s">
        <v>4</v>
      </c>
      <c r="G2" t="s">
        <v>5</v>
      </c>
      <c r="J2" t="s">
        <v>4</v>
      </c>
      <c r="K2" t="s">
        <v>5</v>
      </c>
      <c r="N2" t="s">
        <v>4</v>
      </c>
      <c r="O2" t="s">
        <v>5</v>
      </c>
    </row>
    <row r="3" spans="1:15">
      <c r="A3" t="s">
        <v>6</v>
      </c>
      <c r="B3" s="2">
        <v>980.3</v>
      </c>
      <c r="C3" s="2">
        <v>497.8</v>
      </c>
      <c r="E3" t="s">
        <v>0</v>
      </c>
      <c r="F3" s="2">
        <v>1166.2</v>
      </c>
      <c r="G3" s="2">
        <v>560.1</v>
      </c>
      <c r="I3" t="s">
        <v>1</v>
      </c>
      <c r="J3" s="2">
        <v>400.6</v>
      </c>
      <c r="K3" s="2">
        <v>564.6</v>
      </c>
      <c r="M3" t="s">
        <v>2</v>
      </c>
      <c r="N3" s="2">
        <v>705</v>
      </c>
      <c r="O3" s="2">
        <v>809.5</v>
      </c>
    </row>
    <row r="4" spans="1:15">
      <c r="B4" s="2">
        <v>841.7</v>
      </c>
      <c r="C4" s="2">
        <v>793.5</v>
      </c>
      <c r="F4" s="2">
        <v>521.5</v>
      </c>
      <c r="G4" s="2">
        <v>705.6</v>
      </c>
      <c r="J4" s="2">
        <v>365</v>
      </c>
      <c r="K4" s="3">
        <v>525</v>
      </c>
      <c r="N4" s="2">
        <v>206.1</v>
      </c>
      <c r="O4" s="2">
        <v>619.5</v>
      </c>
    </row>
    <row r="5" spans="1:15">
      <c r="B5" s="2">
        <v>259</v>
      </c>
      <c r="C5" s="2">
        <v>538.9</v>
      </c>
      <c r="F5" s="2">
        <v>514.79999999999995</v>
      </c>
      <c r="G5" s="2">
        <v>784.9</v>
      </c>
      <c r="J5" s="2">
        <v>563.4</v>
      </c>
      <c r="K5" s="2">
        <v>635.70000000000005</v>
      </c>
      <c r="N5" s="2">
        <v>312.5</v>
      </c>
      <c r="O5" s="2">
        <v>418.4</v>
      </c>
    </row>
    <row r="6" spans="1:15">
      <c r="B6" s="1">
        <v>630.4</v>
      </c>
      <c r="C6" s="1">
        <v>604.4</v>
      </c>
      <c r="F6" s="2">
        <v>852.1</v>
      </c>
      <c r="G6" s="2">
        <v>734.3</v>
      </c>
      <c r="J6" s="2">
        <v>810.3</v>
      </c>
      <c r="K6" s="2">
        <v>815</v>
      </c>
      <c r="N6" s="2">
        <v>777.4</v>
      </c>
      <c r="O6" s="2">
        <v>482.2</v>
      </c>
    </row>
    <row r="7" spans="1:15">
      <c r="B7" s="1">
        <v>464.6</v>
      </c>
      <c r="C7" s="1">
        <v>703.8</v>
      </c>
      <c r="F7" s="2">
        <v>415.3</v>
      </c>
      <c r="G7" s="2">
        <v>704</v>
      </c>
      <c r="J7" s="2">
        <v>807</v>
      </c>
      <c r="K7" s="2">
        <v>796.5</v>
      </c>
      <c r="N7" s="2">
        <v>656.4</v>
      </c>
      <c r="O7" s="2">
        <v>707.5</v>
      </c>
    </row>
    <row r="8" spans="1:15">
      <c r="B8" s="1">
        <v>340.5</v>
      </c>
      <c r="C8" s="1">
        <v>335.8</v>
      </c>
      <c r="F8" s="2">
        <v>313.2</v>
      </c>
      <c r="G8" s="2">
        <v>780.6</v>
      </c>
      <c r="J8" s="2">
        <v>515.6</v>
      </c>
      <c r="K8" s="2">
        <v>522.9</v>
      </c>
      <c r="N8" s="2">
        <v>569.20000000000005</v>
      </c>
      <c r="O8" s="2">
        <v>719.1</v>
      </c>
    </row>
    <row r="9" spans="1:15">
      <c r="B9" s="2">
        <v>487.2</v>
      </c>
      <c r="C9" s="2">
        <v>858.6</v>
      </c>
      <c r="F9" s="1">
        <v>728.8</v>
      </c>
      <c r="G9" s="1">
        <v>688.5</v>
      </c>
      <c r="J9" s="1">
        <v>525.5</v>
      </c>
      <c r="K9" s="1">
        <v>273.7</v>
      </c>
      <c r="N9" s="1">
        <v>654.70000000000005</v>
      </c>
      <c r="O9" s="1">
        <v>784</v>
      </c>
    </row>
    <row r="10" spans="1:15">
      <c r="B10" s="3">
        <v>475.6</v>
      </c>
      <c r="C10" s="3">
        <v>601.79999999999995</v>
      </c>
      <c r="F10" s="1">
        <v>621.20000000000005</v>
      </c>
      <c r="G10" s="1">
        <v>932.8</v>
      </c>
      <c r="J10" s="1">
        <v>636.5</v>
      </c>
      <c r="K10" s="1">
        <v>628.1</v>
      </c>
      <c r="N10" s="1">
        <v>779.9</v>
      </c>
      <c r="O10" s="1">
        <v>473.4</v>
      </c>
    </row>
    <row r="11" spans="1:15">
      <c r="B11" s="2">
        <v>535.1</v>
      </c>
      <c r="C11" s="2">
        <v>856.4</v>
      </c>
      <c r="F11" s="1">
        <v>464.1</v>
      </c>
      <c r="G11" s="1">
        <v>349.5</v>
      </c>
      <c r="J11" s="1">
        <v>736.7</v>
      </c>
      <c r="K11" s="1">
        <v>462.6</v>
      </c>
      <c r="N11" s="1">
        <v>604.70000000000005</v>
      </c>
      <c r="O11" s="1">
        <v>336.2</v>
      </c>
    </row>
    <row r="12" spans="1:15">
      <c r="B12" s="1">
        <v>433.6</v>
      </c>
      <c r="C12" s="1">
        <v>870.9</v>
      </c>
      <c r="F12" s="1">
        <v>819.9</v>
      </c>
      <c r="G12" s="1">
        <v>579.70000000000005</v>
      </c>
      <c r="J12" s="1">
        <v>918.8</v>
      </c>
      <c r="K12" s="1">
        <v>410.7</v>
      </c>
      <c r="N12" s="1">
        <v>647.79999999999995</v>
      </c>
      <c r="O12" s="1">
        <v>426.3</v>
      </c>
    </row>
    <row r="13" spans="1:15">
      <c r="B13" s="1"/>
      <c r="C13" s="1">
        <v>496.1</v>
      </c>
      <c r="F13" s="1">
        <v>229.9</v>
      </c>
      <c r="G13" s="1">
        <v>335.3</v>
      </c>
      <c r="J13" s="1">
        <v>631.20000000000005</v>
      </c>
      <c r="K13" s="1">
        <v>543.5</v>
      </c>
      <c r="N13" s="1">
        <v>466.8</v>
      </c>
      <c r="O13" s="1">
        <v>1032</v>
      </c>
    </row>
    <row r="14" spans="1:15">
      <c r="B14" s="1">
        <v>679.4</v>
      </c>
      <c r="C14" s="1">
        <v>499.2</v>
      </c>
      <c r="F14" s="2">
        <v>596.9</v>
      </c>
      <c r="G14" s="2">
        <v>440.2</v>
      </c>
      <c r="J14" s="2">
        <v>540.1</v>
      </c>
      <c r="K14" s="2">
        <v>841.2</v>
      </c>
      <c r="N14" s="2">
        <v>336.9</v>
      </c>
      <c r="O14" s="2">
        <v>798.4</v>
      </c>
    </row>
    <row r="15" spans="1:15">
      <c r="B15">
        <f>AVERAGE(B3:B14)</f>
        <v>557.03636363636372</v>
      </c>
      <c r="C15">
        <f>AVERAGE(C3:C14)</f>
        <v>638.1</v>
      </c>
      <c r="F15" s="2">
        <v>671.3</v>
      </c>
      <c r="G15" s="2">
        <v>560.6</v>
      </c>
      <c r="J15" s="2">
        <v>509.3</v>
      </c>
      <c r="K15" s="2">
        <v>449.6</v>
      </c>
      <c r="N15" s="2">
        <v>790</v>
      </c>
      <c r="O15" s="2">
        <v>882.6</v>
      </c>
    </row>
    <row r="16" spans="1:15">
      <c r="F16" s="2">
        <v>765.6</v>
      </c>
      <c r="G16" s="2">
        <v>294.8</v>
      </c>
      <c r="J16" s="2">
        <v>421</v>
      </c>
      <c r="K16" s="2">
        <v>727.4</v>
      </c>
      <c r="N16" s="2">
        <v>667</v>
      </c>
      <c r="O16" s="2">
        <v>1146</v>
      </c>
    </row>
    <row r="17" spans="1:15">
      <c r="F17" s="2">
        <v>832.4</v>
      </c>
      <c r="G17" s="2">
        <v>468.6</v>
      </c>
      <c r="J17" s="2">
        <v>631.4</v>
      </c>
      <c r="K17" s="2">
        <v>291.8</v>
      </c>
      <c r="N17" s="2">
        <v>536.20000000000005</v>
      </c>
      <c r="O17" s="2">
        <v>803.8</v>
      </c>
    </row>
    <row r="18" spans="1:15">
      <c r="F18" s="2">
        <v>379.8</v>
      </c>
      <c r="G18" s="2">
        <v>579.9</v>
      </c>
      <c r="J18" s="2">
        <v>708.2</v>
      </c>
      <c r="K18" s="2">
        <v>624.29999999999995</v>
      </c>
      <c r="N18" s="2">
        <v>617.5</v>
      </c>
      <c r="O18" s="2">
        <v>937.4</v>
      </c>
    </row>
    <row r="19" spans="1:15">
      <c r="F19" s="2">
        <v>696</v>
      </c>
      <c r="G19" s="2">
        <v>668.1</v>
      </c>
      <c r="J19" s="2">
        <v>490.8</v>
      </c>
      <c r="K19" s="2"/>
      <c r="N19" s="2">
        <v>717.7</v>
      </c>
      <c r="O19" s="2">
        <v>889.6</v>
      </c>
    </row>
    <row r="20" spans="1:15">
      <c r="F20" s="1">
        <v>877.6</v>
      </c>
      <c r="G20" s="1">
        <v>745.3</v>
      </c>
      <c r="J20" s="1">
        <v>778.2</v>
      </c>
      <c r="K20" s="1">
        <v>533.1</v>
      </c>
      <c r="N20" s="1">
        <v>779.6</v>
      </c>
      <c r="O20" s="1">
        <v>543.1</v>
      </c>
    </row>
    <row r="21" spans="1:15">
      <c r="F21" s="1">
        <v>613.29999999999995</v>
      </c>
      <c r="G21" s="1">
        <v>688.7</v>
      </c>
      <c r="J21" s="1">
        <v>864.3</v>
      </c>
      <c r="K21" s="1">
        <v>734.6</v>
      </c>
      <c r="N21" s="1">
        <v>410.3</v>
      </c>
      <c r="O21" s="1">
        <v>553.4</v>
      </c>
    </row>
    <row r="22" spans="1:15">
      <c r="F22" s="1">
        <v>623.20000000000005</v>
      </c>
      <c r="G22" s="1">
        <v>825.9</v>
      </c>
      <c r="J22" s="1">
        <v>979.4</v>
      </c>
      <c r="K22" s="1">
        <v>676.4</v>
      </c>
      <c r="N22" s="1">
        <v>412.2</v>
      </c>
      <c r="O22" s="1">
        <v>824.5</v>
      </c>
    </row>
    <row r="23" spans="1:15">
      <c r="F23" s="1">
        <v>476.6</v>
      </c>
      <c r="G23" s="1">
        <v>501.3</v>
      </c>
      <c r="J23" s="1">
        <v>978.1</v>
      </c>
      <c r="K23" s="1">
        <v>417.3</v>
      </c>
      <c r="N23" s="1">
        <v>308.10000000000002</v>
      </c>
      <c r="O23" s="1">
        <v>940.1</v>
      </c>
    </row>
    <row r="24" spans="1:15">
      <c r="F24" s="1">
        <v>604.9</v>
      </c>
      <c r="G24" s="1">
        <v>494.3</v>
      </c>
      <c r="J24" s="1">
        <v>576.70000000000005</v>
      </c>
      <c r="K24" s="1">
        <v>453.5</v>
      </c>
      <c r="N24" s="1">
        <v>675.5</v>
      </c>
      <c r="O24" s="1">
        <v>576.70000000000005</v>
      </c>
    </row>
    <row r="25" spans="1:15">
      <c r="F25">
        <f>AVERAGE(F3:F24)</f>
        <v>626.57272727272721</v>
      </c>
      <c r="G25">
        <f>AVERAGE(G3:G24)</f>
        <v>610.13636363636351</v>
      </c>
      <c r="J25">
        <f>AVERAGE(J3:J24)</f>
        <v>654.00454545454545</v>
      </c>
      <c r="K25">
        <f>AVERAGE(K3:K24)</f>
        <v>567.97619047619048</v>
      </c>
      <c r="N25">
        <f>AVERAGE(N3:N24)</f>
        <v>574.15909090909099</v>
      </c>
      <c r="O25">
        <f>AVERAGE(O3:O24)</f>
        <v>713.8045454545454</v>
      </c>
    </row>
    <row r="27" spans="1:15">
      <c r="A27" t="s">
        <v>3</v>
      </c>
      <c r="B27" s="4">
        <f>TTEST(B3:B14,C3:C14,2,2)</f>
        <v>0.32923017196223947</v>
      </c>
      <c r="F27" s="4">
        <f>TTEST(F3:F24,G3:G24,2,2)</f>
        <v>0.77853293220654463</v>
      </c>
      <c r="J27" s="4">
        <f>TTEST(J3:J24,K3:K24,2,2)</f>
        <v>0.11124743507232286</v>
      </c>
      <c r="N27" s="4">
        <f>TTEST(N3:N24,O3:O24,2,2)</f>
        <v>2.4071976757048079E-2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Abbreviation</vt:lpstr>
      <vt:lpstr>raw 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이하령</dc:creator>
  <cp:lastModifiedBy>이하령</cp:lastModifiedBy>
  <cp:lastPrinted>2024-05-23T09:14:26Z</cp:lastPrinted>
  <dcterms:created xsi:type="dcterms:W3CDTF">2024-05-10T00:28:08Z</dcterms:created>
  <dcterms:modified xsi:type="dcterms:W3CDTF">2026-01-28T08:04:04Z</dcterms:modified>
</cp:coreProperties>
</file>