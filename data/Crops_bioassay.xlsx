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A3D16BE6-6D1D-4DC7-875D-32E929C9553B}" xr6:coauthVersionLast="36" xr6:coauthVersionMax="36" xr10:uidLastSave="{00000000-0000-0000-0000-000000000000}"/>
  <bookViews>
    <workbookView xWindow="0" yWindow="0" windowWidth="13788" windowHeight="4332" xr2:uid="{ED78E37F-580B-40A3-89B0-1153B8319E5F}"/>
  </bookViews>
  <sheets>
    <sheet name="Abbreviation" sheetId="17" r:id="rId1"/>
    <sheet name="raw data" sheetId="16" r:id="rId2"/>
    <sheet name="Sheet5" sheetId="15" state="hidden" r:id="rId3"/>
  </sheets>
  <definedNames>
    <definedName name="_xlnm._FilterDatabase" localSheetId="1" hidden="1">'raw data'!$A$1:$G$1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5" l="1"/>
  <c r="C15" i="15"/>
  <c r="F25" i="15"/>
  <c r="G25" i="15"/>
  <c r="K25" i="15"/>
  <c r="J25" i="15"/>
  <c r="O25" i="15"/>
  <c r="N25" i="15"/>
  <c r="N27" i="15"/>
  <c r="J27" i="15"/>
  <c r="F27" i="15"/>
  <c r="B27" i="15"/>
</calcChain>
</file>

<file path=xl/sharedStrings.xml><?xml version="1.0" encoding="utf-8"?>
<sst xmlns="http://schemas.openxmlformats.org/spreadsheetml/2006/main" count="956" uniqueCount="55">
  <si>
    <t>SPO</t>
  </si>
  <si>
    <t>GPA</t>
  </si>
  <si>
    <t>both</t>
  </si>
  <si>
    <t>ttest</t>
  </si>
  <si>
    <t>a</t>
  </si>
  <si>
    <t>e</t>
  </si>
  <si>
    <t>ctrl</t>
  </si>
  <si>
    <t>plant_freshmass</t>
  </si>
  <si>
    <t>herbivory</t>
  </si>
  <si>
    <t>ac1</t>
  </si>
  <si>
    <t>ac2</t>
  </si>
  <si>
    <t>ec1</t>
  </si>
  <si>
    <t>ec2</t>
  </si>
  <si>
    <t>chamber</t>
  </si>
  <si>
    <t>ac</t>
  </si>
  <si>
    <t>ec</t>
  </si>
  <si>
    <t>co2</t>
  </si>
  <si>
    <t>spo_mass</t>
  </si>
  <si>
    <t>gpa_num</t>
  </si>
  <si>
    <t>plant</t>
  </si>
  <si>
    <t>rapeseed</t>
  </si>
  <si>
    <t>cabbage</t>
  </si>
  <si>
    <t>maize</t>
  </si>
  <si>
    <t>-</t>
  </si>
  <si>
    <t>soybean</t>
  </si>
  <si>
    <t>Sampling</t>
  </si>
  <si>
    <t>Abbreviation</t>
  </si>
  <si>
    <t>Chamber number</t>
  </si>
  <si>
    <t>CO2 treatment</t>
  </si>
  <si>
    <t>Ambient CO2 chamber</t>
  </si>
  <si>
    <t>Herbivory treatment</t>
  </si>
  <si>
    <t>Plant species used in the experiment</t>
  </si>
  <si>
    <t>14 Oct 2025</t>
  </si>
  <si>
    <t>28 Oct 2025</t>
  </si>
  <si>
    <t>10 October 2025</t>
  </si>
  <si>
    <t>Brassica napus</t>
  </si>
  <si>
    <t xml:space="preserve">Glycine max </t>
  </si>
  <si>
    <t xml:space="preserve">Zea mays </t>
  </si>
  <si>
    <t>Elevated CO2 chamber</t>
  </si>
  <si>
    <t>Control (no herbivory)</t>
  </si>
  <si>
    <r>
      <t>Dual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 xml:space="preserve"> + </t>
    </r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</si>
  <si>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 xml:space="preserve"> number</t>
    </r>
  </si>
  <si>
    <r>
      <rPr>
        <i/>
        <sz val="11"/>
        <color theme="1"/>
        <rFont val="Times New Roman"/>
        <family val="1"/>
      </rPr>
      <t xml:space="preserve">S. litura </t>
    </r>
    <r>
      <rPr>
        <sz val="11"/>
        <color theme="1"/>
        <rFont val="Times New Roman"/>
        <family val="1"/>
      </rPr>
      <t>larval mass</t>
    </r>
  </si>
  <si>
    <t>Aboveground plant fresh mass (mg)</t>
  </si>
  <si>
    <t>Transplanting to pots</t>
  </si>
  <si>
    <t>Initiation of CO2 treatment</t>
  </si>
  <si>
    <t>Initiation of bioassay</t>
  </si>
  <si>
    <r>
      <t xml:space="preserve">Brassica rapa </t>
    </r>
    <r>
      <rPr>
        <sz val="11"/>
        <color theme="1"/>
        <rFont val="Times New Roman"/>
        <family val="1"/>
      </rPr>
      <t>subsp.</t>
    </r>
    <r>
      <rPr>
        <i/>
        <sz val="11"/>
        <color theme="1"/>
        <rFont val="Times New Roman"/>
        <family val="1"/>
      </rPr>
      <t xml:space="preserve"> pekinensis</t>
    </r>
  </si>
  <si>
    <t>16 Sep 2025</t>
  </si>
  <si>
    <t>23 Sep 2025</t>
  </si>
  <si>
    <t>30 Sep 2025</t>
  </si>
  <si>
    <t>Transplanting to pots, initiation of CO2 treatment</t>
  </si>
  <si>
    <r>
      <t>Date (</t>
    </r>
    <r>
      <rPr>
        <i/>
        <sz val="11"/>
        <color theme="1"/>
        <rFont val="Times New Roman"/>
        <family val="1"/>
      </rPr>
      <t xml:space="preserve">Brassica napus, Brassica rapa </t>
    </r>
    <r>
      <rPr>
        <sz val="11"/>
        <color theme="1"/>
        <rFont val="Times New Roman"/>
        <family val="1"/>
      </rPr>
      <t>subsp.</t>
    </r>
    <r>
      <rPr>
        <i/>
        <sz val="11"/>
        <color theme="1"/>
        <rFont val="Times New Roman"/>
        <family val="1"/>
      </rPr>
      <t xml:space="preserve"> pekinensis</t>
    </r>
    <r>
      <rPr>
        <sz val="11"/>
        <color theme="1"/>
        <rFont val="Times New Roman"/>
        <family val="1"/>
      </rPr>
      <t>)</t>
    </r>
  </si>
  <si>
    <r>
      <t>Date (</t>
    </r>
    <r>
      <rPr>
        <i/>
        <sz val="11"/>
        <color theme="1"/>
        <rFont val="Times New Roman"/>
        <family val="1"/>
      </rPr>
      <t>Zea mays, Glycine max</t>
    </r>
    <r>
      <rPr>
        <sz val="11"/>
        <color theme="1"/>
        <rFont val="Times New Roman"/>
        <family val="1"/>
      </rPr>
      <t>)</t>
    </r>
  </si>
  <si>
    <t>3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</si>
</sst>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</cellStyleXfs>
  <cellXfs count="10">
    <xf numFmtId="0" fontId="0" fillId="0" borderId="0" xfId="0"/>
    <xf numFmtId="0" fontId="0" fillId="0" borderId="1" xfId="0" applyFill="1" applyBorder="1"/>
    <xf numFmtId="0" fontId="1" fillId="0" borderId="1" xfId="1" applyFill="1" applyBorder="1"/>
    <xf numFmtId="0" fontId="0" fillId="0" borderId="1" xfId="1" applyFont="1" applyFill="1" applyBorder="1"/>
    <xf numFmtId="0" fontId="1" fillId="3" borderId="0" xfId="2"/>
    <xf numFmtId="0" fontId="3" fillId="0" borderId="2" xfId="0" applyFont="1" applyBorder="1"/>
    <xf numFmtId="0" fontId="3" fillId="0" borderId="0" xfId="0" applyFont="1"/>
    <xf numFmtId="0" fontId="3" fillId="0" borderId="0" xfId="0" applyFont="1" applyBorder="1"/>
    <xf numFmtId="164" fontId="3" fillId="0" borderId="0" xfId="0" applyNumberFormat="1" applyFont="1"/>
    <xf numFmtId="0" fontId="4" fillId="0" borderId="0" xfId="0" applyFont="1"/>
  </cellXfs>
  <cellStyles count="4">
    <cellStyle name="20% - 강조색1" xfId="1" builtinId="30"/>
    <cellStyle name="20% - 강조색2" xfId="2" builtinId="34"/>
    <cellStyle name="표준" xfId="0" builtinId="0"/>
    <cellStyle name="표준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6247-0E27-4520-9567-08D57D2B119F}">
  <dimension ref="A1:B27"/>
  <sheetViews>
    <sheetView tabSelected="1" workbookViewId="0">
      <selection activeCell="A5" sqref="A5"/>
    </sheetView>
  </sheetViews>
  <sheetFormatPr defaultRowHeight="14.4"/>
  <cols>
    <col min="1" max="1" width="17.77734375" style="6" customWidth="1"/>
    <col min="2" max="2" width="8.88671875" style="6" customWidth="1"/>
    <col min="6" max="6" width="14.44140625" customWidth="1"/>
  </cols>
  <sheetData>
    <row r="1" spans="1:2" ht="15" thickBot="1">
      <c r="A1" s="5" t="s">
        <v>52</v>
      </c>
    </row>
    <row r="2" spans="1:2" ht="15" thickTop="1">
      <c r="A2" s="6" t="s">
        <v>34</v>
      </c>
      <c r="B2" s="6" t="s">
        <v>44</v>
      </c>
    </row>
    <row r="3" spans="1:2">
      <c r="A3" s="6" t="s">
        <v>32</v>
      </c>
      <c r="B3" s="6" t="s">
        <v>45</v>
      </c>
    </row>
    <row r="4" spans="1:2">
      <c r="A4" s="6" t="s">
        <v>33</v>
      </c>
      <c r="B4" s="6" t="s">
        <v>46</v>
      </c>
    </row>
    <row r="5" spans="1:2">
      <c r="A5" s="6" t="s">
        <v>54</v>
      </c>
      <c r="B5" s="6" t="s">
        <v>25</v>
      </c>
    </row>
    <row r="7" spans="1:2" ht="15" thickBot="1">
      <c r="A7" s="5" t="s">
        <v>53</v>
      </c>
    </row>
    <row r="8" spans="1:2" ht="15" thickTop="1">
      <c r="A8" s="6" t="s">
        <v>48</v>
      </c>
      <c r="B8" s="6" t="s">
        <v>51</v>
      </c>
    </row>
    <row r="9" spans="1:2">
      <c r="A9" s="6" t="s">
        <v>49</v>
      </c>
      <c r="B9" s="6" t="s">
        <v>46</v>
      </c>
    </row>
    <row r="10" spans="1:2">
      <c r="A10" s="6" t="s">
        <v>50</v>
      </c>
      <c r="B10" s="6" t="s">
        <v>25</v>
      </c>
    </row>
    <row r="12" spans="1:2" ht="15" thickBot="1">
      <c r="A12" s="5" t="s">
        <v>26</v>
      </c>
    </row>
    <row r="13" spans="1:2" ht="15" thickTop="1">
      <c r="A13" s="6" t="s">
        <v>19</v>
      </c>
      <c r="B13" s="6" t="s">
        <v>31</v>
      </c>
    </row>
    <row r="14" spans="1:2">
      <c r="A14" s="6" t="s">
        <v>20</v>
      </c>
      <c r="B14" s="9" t="s">
        <v>35</v>
      </c>
    </row>
    <row r="15" spans="1:2">
      <c r="A15" s="6" t="s">
        <v>21</v>
      </c>
      <c r="B15" s="9" t="s">
        <v>47</v>
      </c>
    </row>
    <row r="16" spans="1:2">
      <c r="A16" s="6" t="s">
        <v>22</v>
      </c>
      <c r="B16" s="9" t="s">
        <v>37</v>
      </c>
    </row>
    <row r="17" spans="1:2">
      <c r="A17" s="6" t="s">
        <v>24</v>
      </c>
      <c r="B17" s="9" t="s">
        <v>36</v>
      </c>
    </row>
    <row r="18" spans="1:2">
      <c r="A18" s="7" t="s">
        <v>13</v>
      </c>
      <c r="B18" s="6" t="s">
        <v>27</v>
      </c>
    </row>
    <row r="19" spans="1:2">
      <c r="A19" s="6" t="s">
        <v>16</v>
      </c>
      <c r="B19" s="6" t="s">
        <v>28</v>
      </c>
    </row>
    <row r="20" spans="1:2">
      <c r="A20" s="6" t="s">
        <v>14</v>
      </c>
      <c r="B20" s="6" t="s">
        <v>29</v>
      </c>
    </row>
    <row r="21" spans="1:2">
      <c r="A21" s="6" t="s">
        <v>15</v>
      </c>
      <c r="B21" s="6" t="s">
        <v>38</v>
      </c>
    </row>
    <row r="22" spans="1:2">
      <c r="A22" s="6" t="s">
        <v>8</v>
      </c>
      <c r="B22" s="6" t="s">
        <v>30</v>
      </c>
    </row>
    <row r="23" spans="1:2">
      <c r="A23" s="6" t="s">
        <v>6</v>
      </c>
      <c r="B23" s="6" t="s">
        <v>39</v>
      </c>
    </row>
    <row r="24" spans="1:2">
      <c r="A24" s="6" t="s">
        <v>2</v>
      </c>
      <c r="B24" s="6" t="s">
        <v>40</v>
      </c>
    </row>
    <row r="25" spans="1:2">
      <c r="A25" s="6" t="s">
        <v>18</v>
      </c>
      <c r="B25" s="6" t="s">
        <v>41</v>
      </c>
    </row>
    <row r="26" spans="1:2">
      <c r="A26" s="6" t="s">
        <v>17</v>
      </c>
      <c r="B26" s="6" t="s">
        <v>42</v>
      </c>
    </row>
    <row r="27" spans="1:2">
      <c r="A27" s="6" t="s">
        <v>7</v>
      </c>
      <c r="B27" s="6" t="s">
        <v>43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D07-61D8-462B-B123-78C297176E43}">
  <dimension ref="A1:G220"/>
  <sheetViews>
    <sheetView topLeftCell="A199" zoomScale="85" zoomScaleNormal="85" workbookViewId="0">
      <selection activeCell="A10" sqref="A10"/>
    </sheetView>
  </sheetViews>
  <sheetFormatPr defaultRowHeight="13.8"/>
  <cols>
    <col min="1" max="1" width="9.5546875" style="6" bestFit="1" customWidth="1"/>
    <col min="2" max="2" width="11.33203125" style="6" bestFit="1" customWidth="1"/>
    <col min="3" max="3" width="6.6640625" style="6" bestFit="1" customWidth="1"/>
    <col min="4" max="4" width="9.33203125" style="6" bestFit="1" customWidth="1"/>
    <col min="5" max="5" width="17.77734375" style="6" customWidth="1"/>
    <col min="6" max="6" width="11.88671875" style="6" bestFit="1" customWidth="1"/>
    <col min="7" max="7" width="12.77734375" style="6" bestFit="1" customWidth="1"/>
    <col min="8" max="8" width="11.21875" style="6" customWidth="1"/>
    <col min="9" max="9" width="8.88671875" style="6"/>
    <col min="10" max="10" width="14.77734375" style="6" customWidth="1"/>
    <col min="11" max="16384" width="8.88671875" style="6"/>
  </cols>
  <sheetData>
    <row r="1" spans="1:7">
      <c r="A1" s="6" t="s">
        <v>19</v>
      </c>
      <c r="B1" s="6" t="s">
        <v>13</v>
      </c>
      <c r="C1" s="6" t="s">
        <v>16</v>
      </c>
      <c r="D1" s="6" t="s">
        <v>8</v>
      </c>
      <c r="E1" s="6" t="s">
        <v>7</v>
      </c>
      <c r="F1" s="6" t="s">
        <v>18</v>
      </c>
      <c r="G1" s="6" t="s">
        <v>17</v>
      </c>
    </row>
    <row r="2" spans="1:7">
      <c r="A2" s="6" t="s">
        <v>20</v>
      </c>
      <c r="B2" s="6" t="s">
        <v>9</v>
      </c>
      <c r="C2" s="6" t="s">
        <v>14</v>
      </c>
      <c r="D2" s="6" t="s">
        <v>6</v>
      </c>
      <c r="E2" s="6">
        <v>1123.7</v>
      </c>
    </row>
    <row r="3" spans="1:7">
      <c r="A3" s="6" t="s">
        <v>20</v>
      </c>
      <c r="B3" s="6" t="s">
        <v>9</v>
      </c>
      <c r="C3" s="6" t="s">
        <v>14</v>
      </c>
      <c r="D3" s="6" t="s">
        <v>6</v>
      </c>
      <c r="E3" s="6">
        <v>1329.2</v>
      </c>
    </row>
    <row r="4" spans="1:7">
      <c r="A4" s="6" t="s">
        <v>20</v>
      </c>
      <c r="B4" s="6" t="s">
        <v>9</v>
      </c>
      <c r="C4" s="6" t="s">
        <v>14</v>
      </c>
      <c r="D4" s="6" t="s">
        <v>6</v>
      </c>
      <c r="E4" s="6">
        <v>1072.2</v>
      </c>
    </row>
    <row r="5" spans="1:7">
      <c r="A5" s="6" t="s">
        <v>20</v>
      </c>
      <c r="B5" s="6" t="s">
        <v>9</v>
      </c>
      <c r="C5" s="6" t="s">
        <v>14</v>
      </c>
      <c r="D5" s="6" t="s">
        <v>6</v>
      </c>
      <c r="E5" s="6">
        <v>1040.0999999999999</v>
      </c>
    </row>
    <row r="6" spans="1:7">
      <c r="A6" s="6" t="s">
        <v>20</v>
      </c>
      <c r="B6" s="6" t="s">
        <v>9</v>
      </c>
      <c r="C6" s="6" t="s">
        <v>14</v>
      </c>
      <c r="D6" s="6" t="s">
        <v>6</v>
      </c>
      <c r="E6" s="6">
        <v>1414.7</v>
      </c>
    </row>
    <row r="7" spans="1:7">
      <c r="A7" s="6" t="s">
        <v>20</v>
      </c>
      <c r="B7" s="6" t="s">
        <v>9</v>
      </c>
      <c r="C7" s="6" t="s">
        <v>14</v>
      </c>
      <c r="D7" s="6" t="s">
        <v>6</v>
      </c>
      <c r="E7" s="6">
        <v>1769.8</v>
      </c>
    </row>
    <row r="8" spans="1:7">
      <c r="A8" s="6" t="s">
        <v>20</v>
      </c>
      <c r="B8" s="6" t="s">
        <v>9</v>
      </c>
      <c r="C8" s="6" t="s">
        <v>14</v>
      </c>
      <c r="D8" s="6" t="s">
        <v>6</v>
      </c>
      <c r="E8" s="6">
        <v>1282.3</v>
      </c>
    </row>
    <row r="9" spans="1:7">
      <c r="A9" s="6" t="s">
        <v>20</v>
      </c>
      <c r="B9" s="6" t="s">
        <v>9</v>
      </c>
      <c r="C9" s="6" t="s">
        <v>14</v>
      </c>
      <c r="D9" s="6" t="s">
        <v>6</v>
      </c>
      <c r="E9" s="6">
        <v>1434.3</v>
      </c>
    </row>
    <row r="10" spans="1:7">
      <c r="A10" s="6" t="s">
        <v>20</v>
      </c>
      <c r="B10" s="6" t="s">
        <v>9</v>
      </c>
      <c r="C10" s="6" t="s">
        <v>14</v>
      </c>
      <c r="D10" s="6" t="s">
        <v>6</v>
      </c>
      <c r="E10" s="6">
        <v>2623</v>
      </c>
    </row>
    <row r="11" spans="1:7">
      <c r="A11" s="6" t="s">
        <v>20</v>
      </c>
      <c r="B11" s="6" t="s">
        <v>9</v>
      </c>
      <c r="C11" s="6" t="s">
        <v>14</v>
      </c>
      <c r="D11" s="6" t="s">
        <v>6</v>
      </c>
      <c r="E11" s="6">
        <v>1649.9</v>
      </c>
    </row>
    <row r="12" spans="1:7">
      <c r="A12" s="6" t="s">
        <v>20</v>
      </c>
      <c r="B12" s="6" t="s">
        <v>9</v>
      </c>
      <c r="C12" s="6" t="s">
        <v>14</v>
      </c>
      <c r="D12" s="6" t="s">
        <v>2</v>
      </c>
      <c r="E12" s="6">
        <v>1444.6</v>
      </c>
      <c r="F12" s="6">
        <v>32</v>
      </c>
      <c r="G12" s="6">
        <v>0.43</v>
      </c>
    </row>
    <row r="13" spans="1:7">
      <c r="A13" s="6" t="s">
        <v>20</v>
      </c>
      <c r="B13" s="6" t="s">
        <v>9</v>
      </c>
      <c r="C13" s="6" t="s">
        <v>14</v>
      </c>
      <c r="D13" s="6" t="s">
        <v>2</v>
      </c>
      <c r="E13" s="6">
        <v>1510.1</v>
      </c>
      <c r="F13" s="6">
        <v>46</v>
      </c>
      <c r="G13" s="6">
        <v>0.23</v>
      </c>
    </row>
    <row r="14" spans="1:7">
      <c r="A14" s="6" t="s">
        <v>20</v>
      </c>
      <c r="B14" s="6" t="s">
        <v>9</v>
      </c>
      <c r="C14" s="6" t="s">
        <v>14</v>
      </c>
      <c r="D14" s="6" t="s">
        <v>2</v>
      </c>
      <c r="E14" s="6">
        <v>1254.4000000000001</v>
      </c>
      <c r="F14" s="6">
        <v>36</v>
      </c>
      <c r="G14" s="6">
        <v>0.46</v>
      </c>
    </row>
    <row r="15" spans="1:7">
      <c r="A15" s="6" t="s">
        <v>20</v>
      </c>
      <c r="B15" s="6" t="s">
        <v>9</v>
      </c>
      <c r="C15" s="6" t="s">
        <v>14</v>
      </c>
      <c r="D15" s="6" t="s">
        <v>2</v>
      </c>
      <c r="E15" s="6">
        <v>916.9</v>
      </c>
      <c r="F15" s="6">
        <v>26</v>
      </c>
      <c r="G15" s="6">
        <v>0.27</v>
      </c>
    </row>
    <row r="16" spans="1:7">
      <c r="A16" s="6" t="s">
        <v>20</v>
      </c>
      <c r="B16" s="6" t="s">
        <v>9</v>
      </c>
      <c r="C16" s="6" t="s">
        <v>14</v>
      </c>
      <c r="D16" s="6" t="s">
        <v>2</v>
      </c>
      <c r="E16" s="6">
        <v>1216.4000000000001</v>
      </c>
      <c r="F16" s="6">
        <v>20</v>
      </c>
      <c r="G16" s="6">
        <v>0.28000000000000003</v>
      </c>
    </row>
    <row r="17" spans="1:7">
      <c r="A17" s="6" t="s">
        <v>20</v>
      </c>
      <c r="B17" s="6" t="s">
        <v>9</v>
      </c>
      <c r="C17" s="6" t="s">
        <v>14</v>
      </c>
      <c r="D17" s="6" t="s">
        <v>2</v>
      </c>
      <c r="E17" s="6">
        <v>1084.4000000000001</v>
      </c>
      <c r="F17" s="6">
        <v>23</v>
      </c>
      <c r="G17" s="6">
        <v>0.2</v>
      </c>
    </row>
    <row r="18" spans="1:7">
      <c r="A18" s="6" t="s">
        <v>20</v>
      </c>
      <c r="B18" s="6" t="s">
        <v>9</v>
      </c>
      <c r="C18" s="6" t="s">
        <v>14</v>
      </c>
      <c r="D18" s="6" t="s">
        <v>2</v>
      </c>
      <c r="E18" s="6">
        <v>1892.2</v>
      </c>
      <c r="F18" s="6">
        <v>24</v>
      </c>
      <c r="G18" s="6">
        <v>0.27</v>
      </c>
    </row>
    <row r="19" spans="1:7">
      <c r="A19" s="6" t="s">
        <v>20</v>
      </c>
      <c r="B19" s="6" t="s">
        <v>9</v>
      </c>
      <c r="C19" s="6" t="s">
        <v>14</v>
      </c>
      <c r="D19" s="6" t="s">
        <v>2</v>
      </c>
      <c r="E19" s="6">
        <v>1307.7</v>
      </c>
      <c r="F19" s="6">
        <v>20</v>
      </c>
      <c r="G19" s="6">
        <v>0.45</v>
      </c>
    </row>
    <row r="20" spans="1:7">
      <c r="A20" s="6" t="s">
        <v>20</v>
      </c>
      <c r="B20" s="6" t="s">
        <v>9</v>
      </c>
      <c r="C20" s="6" t="s">
        <v>14</v>
      </c>
      <c r="D20" s="6" t="s">
        <v>2</v>
      </c>
      <c r="E20" s="6">
        <v>833.1</v>
      </c>
      <c r="F20" s="6">
        <v>64</v>
      </c>
      <c r="G20" s="6">
        <v>0.37</v>
      </c>
    </row>
    <row r="21" spans="1:7">
      <c r="A21" s="6" t="s">
        <v>20</v>
      </c>
      <c r="B21" s="6" t="s">
        <v>9</v>
      </c>
      <c r="C21" s="6" t="s">
        <v>14</v>
      </c>
      <c r="D21" s="6" t="s">
        <v>2</v>
      </c>
      <c r="E21" s="6">
        <v>1376.5</v>
      </c>
      <c r="F21" s="6">
        <v>36</v>
      </c>
      <c r="G21" s="6">
        <v>0.47</v>
      </c>
    </row>
    <row r="22" spans="1:7">
      <c r="A22" s="6" t="s">
        <v>20</v>
      </c>
      <c r="B22" s="6" t="s">
        <v>10</v>
      </c>
      <c r="C22" s="6" t="s">
        <v>14</v>
      </c>
      <c r="D22" s="6" t="s">
        <v>6</v>
      </c>
      <c r="E22" s="6">
        <v>1351.5</v>
      </c>
    </row>
    <row r="23" spans="1:7">
      <c r="A23" s="6" t="s">
        <v>20</v>
      </c>
      <c r="B23" s="6" t="s">
        <v>10</v>
      </c>
      <c r="C23" s="6" t="s">
        <v>14</v>
      </c>
      <c r="D23" s="6" t="s">
        <v>6</v>
      </c>
      <c r="E23" s="6">
        <v>1290.2</v>
      </c>
    </row>
    <row r="24" spans="1:7">
      <c r="A24" s="6" t="s">
        <v>20</v>
      </c>
      <c r="B24" s="6" t="s">
        <v>10</v>
      </c>
      <c r="C24" s="6" t="s">
        <v>14</v>
      </c>
      <c r="D24" s="6" t="s">
        <v>6</v>
      </c>
      <c r="E24" s="6">
        <v>914.2</v>
      </c>
    </row>
    <row r="25" spans="1:7">
      <c r="A25" s="6" t="s">
        <v>20</v>
      </c>
      <c r="B25" s="6" t="s">
        <v>10</v>
      </c>
      <c r="C25" s="6" t="s">
        <v>14</v>
      </c>
      <c r="D25" s="6" t="s">
        <v>6</v>
      </c>
      <c r="E25" s="6">
        <v>1577.7</v>
      </c>
    </row>
    <row r="26" spans="1:7">
      <c r="A26" s="6" t="s">
        <v>20</v>
      </c>
      <c r="B26" s="6" t="s">
        <v>10</v>
      </c>
      <c r="C26" s="6" t="s">
        <v>14</v>
      </c>
      <c r="D26" s="6" t="s">
        <v>6</v>
      </c>
      <c r="E26" s="6">
        <v>1662.5</v>
      </c>
    </row>
    <row r="27" spans="1:7">
      <c r="A27" s="6" t="s">
        <v>20</v>
      </c>
      <c r="B27" s="6" t="s">
        <v>10</v>
      </c>
      <c r="C27" s="6" t="s">
        <v>14</v>
      </c>
      <c r="D27" s="6" t="s">
        <v>6</v>
      </c>
      <c r="E27" s="6">
        <v>1055.3</v>
      </c>
    </row>
    <row r="28" spans="1:7">
      <c r="A28" s="6" t="s">
        <v>20</v>
      </c>
      <c r="B28" s="6" t="s">
        <v>10</v>
      </c>
      <c r="C28" s="6" t="s">
        <v>14</v>
      </c>
      <c r="D28" s="6" t="s">
        <v>6</v>
      </c>
      <c r="E28" s="6">
        <v>1425.7</v>
      </c>
    </row>
    <row r="29" spans="1:7">
      <c r="A29" s="6" t="s">
        <v>20</v>
      </c>
      <c r="B29" s="6" t="s">
        <v>10</v>
      </c>
      <c r="C29" s="6" t="s">
        <v>14</v>
      </c>
      <c r="D29" s="6" t="s">
        <v>6</v>
      </c>
      <c r="E29" s="6">
        <v>1497.2</v>
      </c>
    </row>
    <row r="30" spans="1:7">
      <c r="A30" s="6" t="s">
        <v>20</v>
      </c>
      <c r="B30" s="6" t="s">
        <v>10</v>
      </c>
      <c r="C30" s="6" t="s">
        <v>14</v>
      </c>
      <c r="D30" s="6" t="s">
        <v>6</v>
      </c>
      <c r="E30" s="6">
        <v>1392.2</v>
      </c>
    </row>
    <row r="31" spans="1:7" ht="13.8" customHeight="1">
      <c r="A31" s="6" t="s">
        <v>20</v>
      </c>
      <c r="B31" s="6" t="s">
        <v>10</v>
      </c>
      <c r="C31" s="6" t="s">
        <v>14</v>
      </c>
      <c r="D31" s="6" t="s">
        <v>6</v>
      </c>
      <c r="E31" s="6">
        <v>1153</v>
      </c>
    </row>
    <row r="32" spans="1:7">
      <c r="A32" s="6" t="s">
        <v>20</v>
      </c>
      <c r="B32" s="6" t="s">
        <v>10</v>
      </c>
      <c r="C32" s="6" t="s">
        <v>14</v>
      </c>
      <c r="D32" s="6" t="s">
        <v>2</v>
      </c>
      <c r="E32" s="6">
        <v>914.4</v>
      </c>
      <c r="F32" s="6">
        <v>40</v>
      </c>
      <c r="G32" s="6">
        <v>0.39</v>
      </c>
    </row>
    <row r="33" spans="1:7">
      <c r="A33" s="6" t="s">
        <v>20</v>
      </c>
      <c r="B33" s="6" t="s">
        <v>10</v>
      </c>
      <c r="C33" s="6" t="s">
        <v>14</v>
      </c>
      <c r="D33" s="6" t="s">
        <v>2</v>
      </c>
      <c r="E33" s="6">
        <v>1435</v>
      </c>
      <c r="F33" s="6">
        <v>48</v>
      </c>
      <c r="G33" s="6">
        <v>0.25</v>
      </c>
    </row>
    <row r="34" spans="1:7">
      <c r="A34" s="6" t="s">
        <v>20</v>
      </c>
      <c r="B34" s="6" t="s">
        <v>10</v>
      </c>
      <c r="C34" s="6" t="s">
        <v>14</v>
      </c>
      <c r="D34" s="6" t="s">
        <v>2</v>
      </c>
      <c r="E34" s="6">
        <v>1056.0999999999999</v>
      </c>
      <c r="F34" s="6">
        <v>59</v>
      </c>
      <c r="G34" s="6">
        <v>0.4</v>
      </c>
    </row>
    <row r="35" spans="1:7">
      <c r="A35" s="6" t="s">
        <v>20</v>
      </c>
      <c r="B35" s="6" t="s">
        <v>10</v>
      </c>
      <c r="C35" s="6" t="s">
        <v>14</v>
      </c>
      <c r="D35" s="6" t="s">
        <v>2</v>
      </c>
      <c r="E35" s="6">
        <v>1029.0999999999999</v>
      </c>
      <c r="F35" s="6">
        <v>62</v>
      </c>
      <c r="G35" s="6">
        <v>0.37</v>
      </c>
    </row>
    <row r="36" spans="1:7">
      <c r="A36" s="6" t="s">
        <v>20</v>
      </c>
      <c r="B36" s="6" t="s">
        <v>10</v>
      </c>
      <c r="C36" s="6" t="s">
        <v>14</v>
      </c>
      <c r="D36" s="6" t="s">
        <v>2</v>
      </c>
      <c r="E36" s="6">
        <v>1172.4000000000001</v>
      </c>
      <c r="F36" s="6">
        <v>22</v>
      </c>
      <c r="G36" s="6">
        <v>0.48</v>
      </c>
    </row>
    <row r="37" spans="1:7">
      <c r="A37" s="6" t="s">
        <v>20</v>
      </c>
      <c r="B37" s="6" t="s">
        <v>10</v>
      </c>
      <c r="C37" s="6" t="s">
        <v>14</v>
      </c>
      <c r="D37" s="6" t="s">
        <v>2</v>
      </c>
      <c r="E37" s="6">
        <v>1216.0999999999999</v>
      </c>
      <c r="F37" s="6">
        <v>62</v>
      </c>
      <c r="G37" s="6">
        <v>0.37</v>
      </c>
    </row>
    <row r="38" spans="1:7">
      <c r="A38" s="6" t="s">
        <v>20</v>
      </c>
      <c r="B38" s="6" t="s">
        <v>10</v>
      </c>
      <c r="C38" s="6" t="s">
        <v>14</v>
      </c>
      <c r="D38" s="6" t="s">
        <v>2</v>
      </c>
      <c r="E38" s="6">
        <v>1118</v>
      </c>
      <c r="F38" s="6">
        <v>39</v>
      </c>
      <c r="G38" s="6">
        <v>0.33</v>
      </c>
    </row>
    <row r="39" spans="1:7">
      <c r="A39" s="6" t="s">
        <v>20</v>
      </c>
      <c r="B39" s="6" t="s">
        <v>10</v>
      </c>
      <c r="C39" s="6" t="s">
        <v>14</v>
      </c>
      <c r="D39" s="6" t="s">
        <v>2</v>
      </c>
      <c r="E39" s="6">
        <v>1193.7</v>
      </c>
      <c r="F39" s="6">
        <v>64</v>
      </c>
      <c r="G39" s="6">
        <v>0.46</v>
      </c>
    </row>
    <row r="40" spans="1:7">
      <c r="A40" s="6" t="s">
        <v>20</v>
      </c>
      <c r="B40" s="6" t="s">
        <v>10</v>
      </c>
      <c r="C40" s="6" t="s">
        <v>14</v>
      </c>
      <c r="D40" s="6" t="s">
        <v>2</v>
      </c>
      <c r="E40" s="6">
        <v>638.4</v>
      </c>
      <c r="F40" s="6">
        <v>25</v>
      </c>
      <c r="G40" s="6">
        <v>0.47</v>
      </c>
    </row>
    <row r="41" spans="1:7">
      <c r="A41" s="6" t="s">
        <v>20</v>
      </c>
      <c r="B41" s="6" t="s">
        <v>10</v>
      </c>
      <c r="C41" s="6" t="s">
        <v>14</v>
      </c>
      <c r="D41" s="6" t="s">
        <v>2</v>
      </c>
      <c r="F41" s="6">
        <v>42</v>
      </c>
      <c r="G41" s="6">
        <v>0.4</v>
      </c>
    </row>
    <row r="42" spans="1:7">
      <c r="A42" s="6" t="s">
        <v>20</v>
      </c>
      <c r="B42" s="6" t="s">
        <v>11</v>
      </c>
      <c r="C42" s="6" t="s">
        <v>15</v>
      </c>
      <c r="D42" s="6" t="s">
        <v>6</v>
      </c>
      <c r="E42" s="6">
        <v>1282.3</v>
      </c>
    </row>
    <row r="43" spans="1:7">
      <c r="A43" s="6" t="s">
        <v>20</v>
      </c>
      <c r="B43" s="6" t="s">
        <v>11</v>
      </c>
      <c r="C43" s="6" t="s">
        <v>15</v>
      </c>
      <c r="D43" s="6" t="s">
        <v>6</v>
      </c>
      <c r="E43" s="6">
        <v>1475.3</v>
      </c>
    </row>
    <row r="44" spans="1:7">
      <c r="A44" s="6" t="s">
        <v>20</v>
      </c>
      <c r="B44" s="6" t="s">
        <v>11</v>
      </c>
      <c r="C44" s="6" t="s">
        <v>15</v>
      </c>
      <c r="D44" s="6" t="s">
        <v>6</v>
      </c>
      <c r="E44" s="6">
        <v>1630.5</v>
      </c>
    </row>
    <row r="45" spans="1:7">
      <c r="A45" s="6" t="s">
        <v>20</v>
      </c>
      <c r="B45" s="6" t="s">
        <v>11</v>
      </c>
      <c r="C45" s="6" t="s">
        <v>15</v>
      </c>
      <c r="D45" s="6" t="s">
        <v>6</v>
      </c>
      <c r="E45" s="6">
        <v>1673.4</v>
      </c>
    </row>
    <row r="46" spans="1:7">
      <c r="A46" s="6" t="s">
        <v>20</v>
      </c>
      <c r="B46" s="6" t="s">
        <v>11</v>
      </c>
      <c r="C46" s="6" t="s">
        <v>15</v>
      </c>
      <c r="D46" s="6" t="s">
        <v>6</v>
      </c>
      <c r="E46" s="6">
        <v>977.6</v>
      </c>
    </row>
    <row r="47" spans="1:7">
      <c r="A47" s="6" t="s">
        <v>20</v>
      </c>
      <c r="B47" s="6" t="s">
        <v>11</v>
      </c>
      <c r="C47" s="6" t="s">
        <v>15</v>
      </c>
      <c r="D47" s="6" t="s">
        <v>6</v>
      </c>
      <c r="E47" s="6">
        <v>922.7</v>
      </c>
    </row>
    <row r="48" spans="1:7">
      <c r="A48" s="6" t="s">
        <v>20</v>
      </c>
      <c r="B48" s="6" t="s">
        <v>11</v>
      </c>
      <c r="C48" s="6" t="s">
        <v>15</v>
      </c>
      <c r="D48" s="6" t="s">
        <v>6</v>
      </c>
      <c r="E48" s="6">
        <v>1161.8</v>
      </c>
    </row>
    <row r="49" spans="1:7">
      <c r="A49" s="6" t="s">
        <v>20</v>
      </c>
      <c r="B49" s="6" t="s">
        <v>11</v>
      </c>
      <c r="C49" s="6" t="s">
        <v>15</v>
      </c>
      <c r="D49" s="6" t="s">
        <v>6</v>
      </c>
      <c r="E49" s="6">
        <v>815.1</v>
      </c>
    </row>
    <row r="50" spans="1:7">
      <c r="A50" s="6" t="s">
        <v>20</v>
      </c>
      <c r="B50" s="6" t="s">
        <v>11</v>
      </c>
      <c r="C50" s="6" t="s">
        <v>15</v>
      </c>
      <c r="D50" s="6" t="s">
        <v>6</v>
      </c>
      <c r="E50" s="6">
        <v>670.9</v>
      </c>
    </row>
    <row r="51" spans="1:7">
      <c r="A51" s="6" t="s">
        <v>20</v>
      </c>
      <c r="B51" s="6" t="s">
        <v>11</v>
      </c>
      <c r="C51" s="6" t="s">
        <v>15</v>
      </c>
      <c r="D51" s="6" t="s">
        <v>6</v>
      </c>
      <c r="E51" s="6">
        <v>660.1</v>
      </c>
    </row>
    <row r="52" spans="1:7">
      <c r="A52" s="6" t="s">
        <v>20</v>
      </c>
      <c r="B52" s="6" t="s">
        <v>11</v>
      </c>
      <c r="C52" s="6" t="s">
        <v>15</v>
      </c>
      <c r="D52" s="6" t="s">
        <v>2</v>
      </c>
      <c r="E52" s="6">
        <v>906.7</v>
      </c>
      <c r="F52" s="6">
        <v>35</v>
      </c>
      <c r="G52" s="6">
        <v>0.19</v>
      </c>
    </row>
    <row r="53" spans="1:7">
      <c r="A53" s="6" t="s">
        <v>20</v>
      </c>
      <c r="B53" s="6" t="s">
        <v>11</v>
      </c>
      <c r="C53" s="6" t="s">
        <v>15</v>
      </c>
      <c r="D53" s="6" t="s">
        <v>2</v>
      </c>
      <c r="E53" s="6">
        <v>545.29999999999995</v>
      </c>
      <c r="F53" s="6">
        <v>21</v>
      </c>
      <c r="G53" s="6">
        <v>0.3</v>
      </c>
    </row>
    <row r="54" spans="1:7">
      <c r="A54" s="6" t="s">
        <v>20</v>
      </c>
      <c r="B54" s="6" t="s">
        <v>11</v>
      </c>
      <c r="C54" s="6" t="s">
        <v>15</v>
      </c>
      <c r="D54" s="6" t="s">
        <v>2</v>
      </c>
      <c r="E54" s="6">
        <v>963.6</v>
      </c>
      <c r="F54" s="6">
        <v>16</v>
      </c>
      <c r="G54" s="6">
        <v>0.28000000000000003</v>
      </c>
    </row>
    <row r="55" spans="1:7">
      <c r="A55" s="6" t="s">
        <v>20</v>
      </c>
      <c r="B55" s="6" t="s">
        <v>11</v>
      </c>
      <c r="C55" s="6" t="s">
        <v>15</v>
      </c>
      <c r="D55" s="6" t="s">
        <v>2</v>
      </c>
      <c r="E55" s="6">
        <v>1748.7</v>
      </c>
      <c r="F55" s="6">
        <v>27</v>
      </c>
      <c r="G55" s="6">
        <v>0.18</v>
      </c>
    </row>
    <row r="56" spans="1:7">
      <c r="A56" s="6" t="s">
        <v>20</v>
      </c>
      <c r="B56" s="6" t="s">
        <v>11</v>
      </c>
      <c r="C56" s="6" t="s">
        <v>15</v>
      </c>
      <c r="D56" s="6" t="s">
        <v>2</v>
      </c>
      <c r="E56" s="6">
        <v>624.5</v>
      </c>
      <c r="F56" s="6">
        <v>15</v>
      </c>
      <c r="G56" s="6">
        <v>0.15</v>
      </c>
    </row>
    <row r="57" spans="1:7">
      <c r="A57" s="6" t="s">
        <v>20</v>
      </c>
      <c r="B57" s="6" t="s">
        <v>11</v>
      </c>
      <c r="C57" s="6" t="s">
        <v>15</v>
      </c>
      <c r="D57" s="6" t="s">
        <v>2</v>
      </c>
      <c r="E57" s="6">
        <v>1171.5999999999999</v>
      </c>
      <c r="F57" s="6">
        <v>34</v>
      </c>
      <c r="G57" s="6">
        <v>0.2</v>
      </c>
    </row>
    <row r="58" spans="1:7">
      <c r="A58" s="6" t="s">
        <v>20</v>
      </c>
      <c r="B58" s="6" t="s">
        <v>12</v>
      </c>
      <c r="C58" s="6" t="s">
        <v>15</v>
      </c>
      <c r="D58" s="6" t="s">
        <v>6</v>
      </c>
      <c r="E58" s="6">
        <v>1581.2</v>
      </c>
    </row>
    <row r="59" spans="1:7">
      <c r="A59" s="6" t="s">
        <v>20</v>
      </c>
      <c r="B59" s="6" t="s">
        <v>12</v>
      </c>
      <c r="C59" s="6" t="s">
        <v>15</v>
      </c>
      <c r="D59" s="6" t="s">
        <v>6</v>
      </c>
      <c r="E59" s="6">
        <v>1762.4</v>
      </c>
    </row>
    <row r="60" spans="1:7">
      <c r="A60" s="6" t="s">
        <v>20</v>
      </c>
      <c r="B60" s="6" t="s">
        <v>12</v>
      </c>
      <c r="C60" s="6" t="s">
        <v>15</v>
      </c>
      <c r="D60" s="6" t="s">
        <v>6</v>
      </c>
      <c r="E60" s="6">
        <v>1565.3</v>
      </c>
    </row>
    <row r="61" spans="1:7">
      <c r="A61" s="6" t="s">
        <v>20</v>
      </c>
      <c r="B61" s="6" t="s">
        <v>12</v>
      </c>
      <c r="C61" s="6" t="s">
        <v>15</v>
      </c>
      <c r="D61" s="6" t="s">
        <v>6</v>
      </c>
      <c r="E61" s="6">
        <v>1361</v>
      </c>
    </row>
    <row r="62" spans="1:7">
      <c r="A62" s="6" t="s">
        <v>20</v>
      </c>
      <c r="B62" s="6" t="s">
        <v>12</v>
      </c>
      <c r="C62" s="6" t="s">
        <v>15</v>
      </c>
      <c r="D62" s="6" t="s">
        <v>6</v>
      </c>
      <c r="E62" s="6">
        <v>1858.9</v>
      </c>
    </row>
    <row r="63" spans="1:7">
      <c r="A63" s="6" t="s">
        <v>20</v>
      </c>
      <c r="B63" s="6" t="s">
        <v>12</v>
      </c>
      <c r="C63" s="6" t="s">
        <v>15</v>
      </c>
      <c r="D63" s="6" t="s">
        <v>6</v>
      </c>
      <c r="E63" s="6">
        <v>1975.4</v>
      </c>
    </row>
    <row r="64" spans="1:7">
      <c r="A64" s="6" t="s">
        <v>20</v>
      </c>
      <c r="B64" s="6" t="s">
        <v>12</v>
      </c>
      <c r="C64" s="6" t="s">
        <v>15</v>
      </c>
      <c r="D64" s="6" t="s">
        <v>6</v>
      </c>
      <c r="E64" s="6">
        <v>1994.7</v>
      </c>
    </row>
    <row r="65" spans="1:7">
      <c r="A65" s="6" t="s">
        <v>20</v>
      </c>
      <c r="B65" s="6" t="s">
        <v>12</v>
      </c>
      <c r="C65" s="6" t="s">
        <v>15</v>
      </c>
      <c r="D65" s="6" t="s">
        <v>6</v>
      </c>
      <c r="E65" s="6">
        <v>1266</v>
      </c>
    </row>
    <row r="66" spans="1:7">
      <c r="A66" s="6" t="s">
        <v>20</v>
      </c>
      <c r="B66" s="6" t="s">
        <v>12</v>
      </c>
      <c r="C66" s="6" t="s">
        <v>15</v>
      </c>
      <c r="D66" s="6" t="s">
        <v>6</v>
      </c>
      <c r="E66" s="6">
        <v>1910.3</v>
      </c>
    </row>
    <row r="67" spans="1:7">
      <c r="A67" s="6" t="s">
        <v>20</v>
      </c>
      <c r="B67" s="6" t="s">
        <v>12</v>
      </c>
      <c r="C67" s="6" t="s">
        <v>15</v>
      </c>
      <c r="D67" s="6" t="s">
        <v>6</v>
      </c>
      <c r="E67" s="6">
        <v>1624.7</v>
      </c>
    </row>
    <row r="68" spans="1:7">
      <c r="A68" s="6" t="s">
        <v>20</v>
      </c>
      <c r="B68" s="6" t="s">
        <v>12</v>
      </c>
      <c r="C68" s="6" t="s">
        <v>15</v>
      </c>
      <c r="D68" s="6" t="s">
        <v>2</v>
      </c>
      <c r="E68" s="6">
        <v>1487</v>
      </c>
      <c r="F68" s="6">
        <v>36</v>
      </c>
      <c r="G68" s="6">
        <v>0.37</v>
      </c>
    </row>
    <row r="69" spans="1:7">
      <c r="A69" s="6" t="s">
        <v>20</v>
      </c>
      <c r="B69" s="6" t="s">
        <v>12</v>
      </c>
      <c r="C69" s="6" t="s">
        <v>15</v>
      </c>
      <c r="D69" s="6" t="s">
        <v>2</v>
      </c>
      <c r="E69" s="6">
        <v>641.5</v>
      </c>
      <c r="F69" s="6">
        <v>33</v>
      </c>
      <c r="G69" s="6">
        <v>0.3</v>
      </c>
    </row>
    <row r="70" spans="1:7">
      <c r="A70" s="6" t="s">
        <v>20</v>
      </c>
      <c r="B70" s="6" t="s">
        <v>12</v>
      </c>
      <c r="C70" s="6" t="s">
        <v>15</v>
      </c>
      <c r="D70" s="6" t="s">
        <v>2</v>
      </c>
      <c r="E70" s="6">
        <v>944.3</v>
      </c>
      <c r="F70" s="6">
        <v>26</v>
      </c>
      <c r="G70" s="6">
        <v>0.3</v>
      </c>
    </row>
    <row r="71" spans="1:7">
      <c r="A71" s="6" t="s">
        <v>20</v>
      </c>
      <c r="B71" s="6" t="s">
        <v>12</v>
      </c>
      <c r="C71" s="6" t="s">
        <v>15</v>
      </c>
      <c r="D71" s="6" t="s">
        <v>2</v>
      </c>
      <c r="E71" s="6">
        <v>1980.8</v>
      </c>
      <c r="F71" s="6">
        <v>29</v>
      </c>
      <c r="G71" s="6">
        <v>0.34</v>
      </c>
    </row>
    <row r="72" spans="1:7">
      <c r="A72" s="6" t="s">
        <v>20</v>
      </c>
      <c r="B72" s="6" t="s">
        <v>12</v>
      </c>
      <c r="C72" s="6" t="s">
        <v>15</v>
      </c>
      <c r="D72" s="6" t="s">
        <v>2</v>
      </c>
      <c r="E72" s="6">
        <v>2248.5</v>
      </c>
      <c r="F72" s="6">
        <v>34</v>
      </c>
      <c r="G72" s="6">
        <v>0.39</v>
      </c>
    </row>
    <row r="73" spans="1:7">
      <c r="A73" s="6" t="s">
        <v>20</v>
      </c>
      <c r="B73" s="6" t="s">
        <v>12</v>
      </c>
      <c r="C73" s="6" t="s">
        <v>15</v>
      </c>
      <c r="D73" s="6" t="s">
        <v>2</v>
      </c>
      <c r="E73" s="6">
        <v>1175.8</v>
      </c>
      <c r="F73" s="6">
        <v>43</v>
      </c>
      <c r="G73" s="6">
        <v>0.38</v>
      </c>
    </row>
    <row r="74" spans="1:7">
      <c r="A74" s="6" t="s">
        <v>20</v>
      </c>
      <c r="B74" s="6" t="s">
        <v>12</v>
      </c>
      <c r="C74" s="6" t="s">
        <v>15</v>
      </c>
      <c r="D74" s="6" t="s">
        <v>2</v>
      </c>
      <c r="E74" s="6">
        <v>2270</v>
      </c>
      <c r="F74" s="6">
        <v>44</v>
      </c>
      <c r="G74" s="6">
        <v>0.26</v>
      </c>
    </row>
    <row r="75" spans="1:7">
      <c r="A75" s="6" t="s">
        <v>20</v>
      </c>
      <c r="B75" s="6" t="s">
        <v>12</v>
      </c>
      <c r="C75" s="6" t="s">
        <v>15</v>
      </c>
      <c r="D75" s="6" t="s">
        <v>2</v>
      </c>
      <c r="E75" s="6">
        <v>1909.4</v>
      </c>
      <c r="F75" s="6">
        <v>43</v>
      </c>
      <c r="G75" s="6">
        <v>0.31</v>
      </c>
    </row>
    <row r="76" spans="1:7">
      <c r="A76" s="6" t="s">
        <v>20</v>
      </c>
      <c r="B76" s="6" t="s">
        <v>12</v>
      </c>
      <c r="C76" s="6" t="s">
        <v>15</v>
      </c>
      <c r="D76" s="6" t="s">
        <v>2</v>
      </c>
      <c r="E76" s="6">
        <v>1333.8</v>
      </c>
      <c r="F76" s="6">
        <v>32</v>
      </c>
      <c r="G76" s="6">
        <v>0.31</v>
      </c>
    </row>
    <row r="77" spans="1:7">
      <c r="A77" s="6" t="s">
        <v>21</v>
      </c>
      <c r="B77" s="6" t="s">
        <v>9</v>
      </c>
      <c r="C77" s="6" t="s">
        <v>14</v>
      </c>
      <c r="D77" s="6" t="s">
        <v>6</v>
      </c>
      <c r="E77" s="6">
        <v>1575.1</v>
      </c>
    </row>
    <row r="78" spans="1:7">
      <c r="A78" s="6" t="s">
        <v>21</v>
      </c>
      <c r="B78" s="6" t="s">
        <v>9</v>
      </c>
      <c r="C78" s="6" t="s">
        <v>14</v>
      </c>
      <c r="D78" s="6" t="s">
        <v>6</v>
      </c>
      <c r="E78" s="6">
        <v>1732.4</v>
      </c>
    </row>
    <row r="79" spans="1:7">
      <c r="A79" s="6" t="s">
        <v>21</v>
      </c>
      <c r="B79" s="6" t="s">
        <v>9</v>
      </c>
      <c r="C79" s="6" t="s">
        <v>14</v>
      </c>
      <c r="D79" s="6" t="s">
        <v>6</v>
      </c>
      <c r="E79" s="6">
        <v>1702.6</v>
      </c>
    </row>
    <row r="80" spans="1:7">
      <c r="A80" s="6" t="s">
        <v>21</v>
      </c>
      <c r="B80" s="6" t="s">
        <v>9</v>
      </c>
      <c r="C80" s="6" t="s">
        <v>14</v>
      </c>
      <c r="D80" s="6" t="s">
        <v>6</v>
      </c>
      <c r="E80" s="6">
        <v>1537.8</v>
      </c>
    </row>
    <row r="81" spans="1:7">
      <c r="A81" s="6" t="s">
        <v>21</v>
      </c>
      <c r="B81" s="6" t="s">
        <v>9</v>
      </c>
      <c r="C81" s="6" t="s">
        <v>14</v>
      </c>
      <c r="D81" s="6" t="s">
        <v>6</v>
      </c>
      <c r="E81" s="6">
        <v>1314.8</v>
      </c>
    </row>
    <row r="82" spans="1:7">
      <c r="A82" s="6" t="s">
        <v>21</v>
      </c>
      <c r="B82" s="6" t="s">
        <v>9</v>
      </c>
      <c r="C82" s="6" t="s">
        <v>14</v>
      </c>
      <c r="D82" s="6" t="s">
        <v>6</v>
      </c>
      <c r="E82" s="6">
        <v>1991.4</v>
      </c>
    </row>
    <row r="83" spans="1:7">
      <c r="A83" s="6" t="s">
        <v>21</v>
      </c>
      <c r="B83" s="6" t="s">
        <v>9</v>
      </c>
      <c r="C83" s="6" t="s">
        <v>14</v>
      </c>
      <c r="D83" s="6" t="s">
        <v>6</v>
      </c>
      <c r="E83" s="6">
        <v>1547.6</v>
      </c>
    </row>
    <row r="84" spans="1:7">
      <c r="A84" s="6" t="s">
        <v>21</v>
      </c>
      <c r="B84" s="6" t="s">
        <v>9</v>
      </c>
      <c r="C84" s="6" t="s">
        <v>14</v>
      </c>
      <c r="D84" s="6" t="s">
        <v>6</v>
      </c>
      <c r="E84" s="6">
        <v>1649</v>
      </c>
    </row>
    <row r="85" spans="1:7">
      <c r="A85" s="6" t="s">
        <v>21</v>
      </c>
      <c r="B85" s="6" t="s">
        <v>9</v>
      </c>
      <c r="C85" s="6" t="s">
        <v>14</v>
      </c>
      <c r="D85" s="6" t="s">
        <v>6</v>
      </c>
      <c r="E85" s="6">
        <v>1282.2</v>
      </c>
    </row>
    <row r="86" spans="1:7">
      <c r="A86" s="6" t="s">
        <v>21</v>
      </c>
      <c r="B86" s="6" t="s">
        <v>9</v>
      </c>
      <c r="C86" s="6" t="s">
        <v>14</v>
      </c>
      <c r="D86" s="6" t="s">
        <v>6</v>
      </c>
      <c r="E86" s="6">
        <v>1656.7</v>
      </c>
    </row>
    <row r="87" spans="1:7">
      <c r="A87" s="6" t="s">
        <v>21</v>
      </c>
      <c r="B87" s="6" t="s">
        <v>9</v>
      </c>
      <c r="C87" s="6" t="s">
        <v>14</v>
      </c>
      <c r="D87" s="6" t="s">
        <v>2</v>
      </c>
      <c r="E87" s="6">
        <v>1337.4</v>
      </c>
      <c r="F87" s="6">
        <v>36</v>
      </c>
      <c r="G87" s="6">
        <v>0.5</v>
      </c>
    </row>
    <row r="88" spans="1:7">
      <c r="A88" s="6" t="s">
        <v>21</v>
      </c>
      <c r="B88" s="6" t="s">
        <v>9</v>
      </c>
      <c r="C88" s="6" t="s">
        <v>14</v>
      </c>
      <c r="D88" s="6" t="s">
        <v>2</v>
      </c>
      <c r="E88" s="6">
        <v>1591.3</v>
      </c>
      <c r="F88" s="6">
        <v>32</v>
      </c>
      <c r="G88" s="6">
        <v>0.44</v>
      </c>
    </row>
    <row r="89" spans="1:7">
      <c r="A89" s="6" t="s">
        <v>21</v>
      </c>
      <c r="B89" s="6" t="s">
        <v>9</v>
      </c>
      <c r="C89" s="6" t="s">
        <v>14</v>
      </c>
      <c r="D89" s="6" t="s">
        <v>2</v>
      </c>
      <c r="E89" s="6">
        <v>1017.2</v>
      </c>
      <c r="F89" s="6">
        <v>46</v>
      </c>
      <c r="G89" s="6">
        <v>0.4</v>
      </c>
    </row>
    <row r="90" spans="1:7">
      <c r="A90" s="6" t="s">
        <v>21</v>
      </c>
      <c r="B90" s="6" t="s">
        <v>9</v>
      </c>
      <c r="C90" s="6" t="s">
        <v>14</v>
      </c>
      <c r="D90" s="6" t="s">
        <v>2</v>
      </c>
      <c r="E90" s="6">
        <v>1435</v>
      </c>
      <c r="F90" s="6">
        <v>38</v>
      </c>
      <c r="G90" s="6">
        <v>0.49</v>
      </c>
    </row>
    <row r="91" spans="1:7">
      <c r="A91" s="6" t="s">
        <v>21</v>
      </c>
      <c r="B91" s="6" t="s">
        <v>9</v>
      </c>
      <c r="C91" s="6" t="s">
        <v>14</v>
      </c>
      <c r="D91" s="6" t="s">
        <v>2</v>
      </c>
      <c r="E91" s="6">
        <v>1078.7</v>
      </c>
      <c r="F91" s="6">
        <v>22</v>
      </c>
      <c r="G91" s="6">
        <v>0.3</v>
      </c>
    </row>
    <row r="92" spans="1:7">
      <c r="A92" s="6" t="s">
        <v>21</v>
      </c>
      <c r="B92" s="6" t="s">
        <v>9</v>
      </c>
      <c r="C92" s="6" t="s">
        <v>14</v>
      </c>
      <c r="D92" s="6" t="s">
        <v>2</v>
      </c>
      <c r="E92" s="6">
        <v>1281.3</v>
      </c>
      <c r="F92" s="6">
        <v>36</v>
      </c>
      <c r="G92" s="6">
        <v>0.42</v>
      </c>
    </row>
    <row r="93" spans="1:7">
      <c r="A93" s="6" t="s">
        <v>21</v>
      </c>
      <c r="B93" s="6" t="s">
        <v>9</v>
      </c>
      <c r="C93" s="6" t="s">
        <v>14</v>
      </c>
      <c r="D93" s="6" t="s">
        <v>2</v>
      </c>
      <c r="E93" s="6">
        <v>1418</v>
      </c>
      <c r="F93" s="6">
        <v>29</v>
      </c>
      <c r="G93" s="6">
        <v>0.37</v>
      </c>
    </row>
    <row r="94" spans="1:7">
      <c r="A94" s="6" t="s">
        <v>21</v>
      </c>
      <c r="B94" s="6" t="s">
        <v>9</v>
      </c>
      <c r="C94" s="6" t="s">
        <v>14</v>
      </c>
      <c r="D94" s="6" t="s">
        <v>2</v>
      </c>
      <c r="E94" s="6">
        <v>972.4</v>
      </c>
      <c r="F94" s="6">
        <v>35</v>
      </c>
      <c r="G94" s="6">
        <v>0.51</v>
      </c>
    </row>
    <row r="95" spans="1:7">
      <c r="A95" s="6" t="s">
        <v>21</v>
      </c>
      <c r="B95" s="6" t="s">
        <v>9</v>
      </c>
      <c r="C95" s="6" t="s">
        <v>14</v>
      </c>
      <c r="D95" s="6" t="s">
        <v>2</v>
      </c>
      <c r="E95" s="6">
        <v>1579</v>
      </c>
      <c r="F95" s="6">
        <v>23</v>
      </c>
      <c r="G95" s="6">
        <v>0.48</v>
      </c>
    </row>
    <row r="96" spans="1:7">
      <c r="A96" s="6" t="s">
        <v>21</v>
      </c>
      <c r="B96" s="6" t="s">
        <v>9</v>
      </c>
      <c r="C96" s="6" t="s">
        <v>14</v>
      </c>
      <c r="D96" s="6" t="s">
        <v>2</v>
      </c>
      <c r="E96" s="6">
        <v>1344.7</v>
      </c>
      <c r="F96" s="6">
        <v>55</v>
      </c>
      <c r="G96" s="6">
        <v>0.32</v>
      </c>
    </row>
    <row r="97" spans="1:7">
      <c r="A97" s="6" t="s">
        <v>21</v>
      </c>
      <c r="B97" s="6" t="s">
        <v>10</v>
      </c>
      <c r="C97" s="6" t="s">
        <v>14</v>
      </c>
      <c r="D97" s="6" t="s">
        <v>6</v>
      </c>
      <c r="E97" s="6">
        <v>750.6</v>
      </c>
    </row>
    <row r="98" spans="1:7">
      <c r="A98" s="6" t="s">
        <v>21</v>
      </c>
      <c r="B98" s="6" t="s">
        <v>10</v>
      </c>
      <c r="C98" s="6" t="s">
        <v>14</v>
      </c>
      <c r="D98" s="6" t="s">
        <v>6</v>
      </c>
      <c r="E98" s="6">
        <v>633.6</v>
      </c>
    </row>
    <row r="99" spans="1:7">
      <c r="A99" s="6" t="s">
        <v>21</v>
      </c>
      <c r="B99" s="6" t="s">
        <v>10</v>
      </c>
      <c r="C99" s="6" t="s">
        <v>14</v>
      </c>
      <c r="D99" s="6" t="s">
        <v>6</v>
      </c>
      <c r="E99" s="6">
        <v>952.6</v>
      </c>
    </row>
    <row r="100" spans="1:7">
      <c r="A100" s="6" t="s">
        <v>21</v>
      </c>
      <c r="B100" s="6" t="s">
        <v>10</v>
      </c>
      <c r="C100" s="6" t="s">
        <v>14</v>
      </c>
      <c r="D100" s="6" t="s">
        <v>6</v>
      </c>
      <c r="E100" s="6">
        <v>1060.3</v>
      </c>
    </row>
    <row r="101" spans="1:7">
      <c r="A101" s="6" t="s">
        <v>21</v>
      </c>
      <c r="B101" s="6" t="s">
        <v>10</v>
      </c>
      <c r="C101" s="6" t="s">
        <v>14</v>
      </c>
      <c r="D101" s="6" t="s">
        <v>6</v>
      </c>
      <c r="E101" s="6">
        <v>838.7</v>
      </c>
    </row>
    <row r="102" spans="1:7">
      <c r="A102" s="6" t="s">
        <v>21</v>
      </c>
      <c r="B102" s="6" t="s">
        <v>10</v>
      </c>
      <c r="C102" s="6" t="s">
        <v>14</v>
      </c>
      <c r="D102" s="6" t="s">
        <v>6</v>
      </c>
      <c r="E102" s="6">
        <v>1032.5999999999999</v>
      </c>
    </row>
    <row r="103" spans="1:7">
      <c r="A103" s="6" t="s">
        <v>21</v>
      </c>
      <c r="B103" s="6" t="s">
        <v>10</v>
      </c>
      <c r="C103" s="6" t="s">
        <v>14</v>
      </c>
      <c r="D103" s="6" t="s">
        <v>6</v>
      </c>
      <c r="E103" s="6">
        <v>1073.3</v>
      </c>
    </row>
    <row r="104" spans="1:7">
      <c r="A104" s="6" t="s">
        <v>21</v>
      </c>
      <c r="B104" s="6" t="s">
        <v>10</v>
      </c>
      <c r="C104" s="6" t="s">
        <v>14</v>
      </c>
      <c r="D104" s="6" t="s">
        <v>6</v>
      </c>
      <c r="E104" s="6">
        <v>926.1</v>
      </c>
    </row>
    <row r="105" spans="1:7">
      <c r="A105" s="6" t="s">
        <v>21</v>
      </c>
      <c r="B105" s="6" t="s">
        <v>10</v>
      </c>
      <c r="C105" s="6" t="s">
        <v>14</v>
      </c>
      <c r="D105" s="6" t="s">
        <v>6</v>
      </c>
      <c r="E105" s="6">
        <v>717.1</v>
      </c>
    </row>
    <row r="106" spans="1:7">
      <c r="A106" s="6" t="s">
        <v>21</v>
      </c>
      <c r="B106" s="6" t="s">
        <v>10</v>
      </c>
      <c r="C106" s="6" t="s">
        <v>14</v>
      </c>
      <c r="D106" s="6" t="s">
        <v>6</v>
      </c>
      <c r="E106" s="6">
        <v>880.7</v>
      </c>
    </row>
    <row r="107" spans="1:7">
      <c r="A107" s="6" t="s">
        <v>21</v>
      </c>
      <c r="B107" s="6" t="s">
        <v>10</v>
      </c>
      <c r="C107" s="6" t="s">
        <v>14</v>
      </c>
      <c r="D107" s="6" t="s">
        <v>2</v>
      </c>
      <c r="E107" s="6">
        <v>862.8</v>
      </c>
      <c r="F107" s="6">
        <v>42</v>
      </c>
      <c r="G107" s="6">
        <v>0.28000000000000003</v>
      </c>
    </row>
    <row r="108" spans="1:7">
      <c r="A108" s="6" t="s">
        <v>21</v>
      </c>
      <c r="B108" s="6" t="s">
        <v>10</v>
      </c>
      <c r="C108" s="6" t="s">
        <v>14</v>
      </c>
      <c r="D108" s="6" t="s">
        <v>2</v>
      </c>
      <c r="E108" s="6">
        <v>682.5</v>
      </c>
      <c r="F108" s="6">
        <v>48</v>
      </c>
      <c r="G108" s="6">
        <v>0.18</v>
      </c>
    </row>
    <row r="109" spans="1:7">
      <c r="A109" s="6" t="s">
        <v>21</v>
      </c>
      <c r="B109" s="6" t="s">
        <v>10</v>
      </c>
      <c r="C109" s="6" t="s">
        <v>14</v>
      </c>
      <c r="D109" s="6" t="s">
        <v>2</v>
      </c>
      <c r="E109" s="6">
        <v>745.5</v>
      </c>
      <c r="F109" s="6">
        <v>32</v>
      </c>
      <c r="G109" s="6">
        <v>0.34</v>
      </c>
    </row>
    <row r="110" spans="1:7">
      <c r="A110" s="6" t="s">
        <v>21</v>
      </c>
      <c r="B110" s="6" t="s">
        <v>10</v>
      </c>
      <c r="C110" s="6" t="s">
        <v>14</v>
      </c>
      <c r="D110" s="6" t="s">
        <v>2</v>
      </c>
      <c r="E110" s="6">
        <v>776.8</v>
      </c>
      <c r="F110" s="6">
        <v>46</v>
      </c>
      <c r="G110" s="6">
        <v>0.39</v>
      </c>
    </row>
    <row r="111" spans="1:7">
      <c r="A111" s="6" t="s">
        <v>21</v>
      </c>
      <c r="B111" s="6" t="s">
        <v>10</v>
      </c>
      <c r="C111" s="6" t="s">
        <v>14</v>
      </c>
      <c r="D111" s="6" t="s">
        <v>2</v>
      </c>
      <c r="E111" s="6">
        <v>773.1</v>
      </c>
      <c r="F111" s="6">
        <v>38</v>
      </c>
      <c r="G111" s="6">
        <v>0.28000000000000003</v>
      </c>
    </row>
    <row r="112" spans="1:7">
      <c r="A112" s="6" t="s">
        <v>21</v>
      </c>
      <c r="B112" s="6" t="s">
        <v>10</v>
      </c>
      <c r="C112" s="6" t="s">
        <v>14</v>
      </c>
      <c r="D112" s="6" t="s">
        <v>2</v>
      </c>
      <c r="E112" s="6">
        <v>554</v>
      </c>
      <c r="F112" s="6">
        <v>28</v>
      </c>
      <c r="G112" s="6">
        <v>0.46</v>
      </c>
    </row>
    <row r="113" spans="1:7">
      <c r="A113" s="6" t="s">
        <v>21</v>
      </c>
      <c r="B113" s="6" t="s">
        <v>10</v>
      </c>
      <c r="C113" s="6" t="s">
        <v>14</v>
      </c>
      <c r="D113" s="6" t="s">
        <v>2</v>
      </c>
      <c r="E113" s="6">
        <v>781.7</v>
      </c>
      <c r="F113" s="6">
        <v>47</v>
      </c>
      <c r="G113" s="6">
        <v>0.45</v>
      </c>
    </row>
    <row r="114" spans="1:7">
      <c r="A114" s="6" t="s">
        <v>21</v>
      </c>
      <c r="B114" s="6" t="s">
        <v>10</v>
      </c>
      <c r="C114" s="6" t="s">
        <v>14</v>
      </c>
      <c r="D114" s="6" t="s">
        <v>2</v>
      </c>
      <c r="E114" s="6">
        <v>604.1</v>
      </c>
      <c r="F114" s="6">
        <v>27</v>
      </c>
      <c r="G114" s="6">
        <v>0.41</v>
      </c>
    </row>
    <row r="115" spans="1:7">
      <c r="A115" s="6" t="s">
        <v>21</v>
      </c>
      <c r="B115" s="6" t="s">
        <v>10</v>
      </c>
      <c r="C115" s="6" t="s">
        <v>14</v>
      </c>
      <c r="D115" s="6" t="s">
        <v>2</v>
      </c>
      <c r="E115" s="6">
        <v>764.6</v>
      </c>
      <c r="F115" s="6">
        <v>43</v>
      </c>
    </row>
    <row r="116" spans="1:7">
      <c r="A116" s="6" t="s">
        <v>21</v>
      </c>
      <c r="B116" s="6" t="s">
        <v>10</v>
      </c>
      <c r="C116" s="6" t="s">
        <v>14</v>
      </c>
      <c r="D116" s="6" t="s">
        <v>2</v>
      </c>
      <c r="E116" s="6">
        <v>926.8</v>
      </c>
      <c r="F116" s="6">
        <v>26</v>
      </c>
      <c r="G116" s="6">
        <v>0.48</v>
      </c>
    </row>
    <row r="117" spans="1:7">
      <c r="A117" s="6" t="s">
        <v>21</v>
      </c>
      <c r="B117" s="6" t="s">
        <v>11</v>
      </c>
      <c r="C117" s="6" t="s">
        <v>15</v>
      </c>
      <c r="D117" s="6" t="s">
        <v>6</v>
      </c>
      <c r="E117" s="6">
        <v>1255.7</v>
      </c>
    </row>
    <row r="118" spans="1:7">
      <c r="A118" s="6" t="s">
        <v>21</v>
      </c>
      <c r="B118" s="6" t="s">
        <v>11</v>
      </c>
      <c r="C118" s="6" t="s">
        <v>15</v>
      </c>
      <c r="D118" s="6" t="s">
        <v>6</v>
      </c>
      <c r="E118" s="6">
        <v>583.9</v>
      </c>
    </row>
    <row r="119" spans="1:7">
      <c r="A119" s="6" t="s">
        <v>21</v>
      </c>
      <c r="B119" s="6" t="s">
        <v>11</v>
      </c>
      <c r="C119" s="6" t="s">
        <v>15</v>
      </c>
      <c r="D119" s="6" t="s">
        <v>6</v>
      </c>
      <c r="E119" s="6">
        <v>907.6</v>
      </c>
    </row>
    <row r="120" spans="1:7">
      <c r="A120" s="6" t="s">
        <v>21</v>
      </c>
      <c r="B120" s="6" t="s">
        <v>11</v>
      </c>
      <c r="C120" s="6" t="s">
        <v>15</v>
      </c>
      <c r="D120" s="6" t="s">
        <v>6</v>
      </c>
      <c r="E120" s="6">
        <v>925.1</v>
      </c>
    </row>
    <row r="121" spans="1:7">
      <c r="A121" s="6" t="s">
        <v>21</v>
      </c>
      <c r="B121" s="6" t="s">
        <v>11</v>
      </c>
      <c r="C121" s="6" t="s">
        <v>15</v>
      </c>
      <c r="D121" s="6" t="s">
        <v>6</v>
      </c>
      <c r="E121" s="6">
        <v>562.70000000000005</v>
      </c>
    </row>
    <row r="122" spans="1:7">
      <c r="A122" s="6" t="s">
        <v>21</v>
      </c>
      <c r="B122" s="6" t="s">
        <v>11</v>
      </c>
      <c r="C122" s="6" t="s">
        <v>15</v>
      </c>
      <c r="D122" s="6" t="s">
        <v>6</v>
      </c>
      <c r="E122" s="6">
        <v>1261</v>
      </c>
    </row>
    <row r="123" spans="1:7">
      <c r="A123" s="6" t="s">
        <v>21</v>
      </c>
      <c r="B123" s="6" t="s">
        <v>11</v>
      </c>
      <c r="C123" s="6" t="s">
        <v>15</v>
      </c>
      <c r="D123" s="6" t="s">
        <v>6</v>
      </c>
      <c r="E123" s="6">
        <v>1389.9</v>
      </c>
    </row>
    <row r="124" spans="1:7">
      <c r="A124" s="6" t="s">
        <v>21</v>
      </c>
      <c r="B124" s="6" t="s">
        <v>11</v>
      </c>
      <c r="C124" s="6" t="s">
        <v>15</v>
      </c>
      <c r="D124" s="6" t="s">
        <v>6</v>
      </c>
      <c r="E124" s="6">
        <v>743.7</v>
      </c>
    </row>
    <row r="125" spans="1:7">
      <c r="A125" s="6" t="s">
        <v>21</v>
      </c>
      <c r="B125" s="6" t="s">
        <v>11</v>
      </c>
      <c r="C125" s="6" t="s">
        <v>15</v>
      </c>
      <c r="D125" s="6" t="s">
        <v>6</v>
      </c>
    </row>
    <row r="126" spans="1:7">
      <c r="A126" s="6" t="s">
        <v>21</v>
      </c>
      <c r="B126" s="6" t="s">
        <v>11</v>
      </c>
      <c r="C126" s="6" t="s">
        <v>15</v>
      </c>
      <c r="D126" s="6" t="s">
        <v>6</v>
      </c>
      <c r="E126" s="6">
        <v>715.1</v>
      </c>
    </row>
    <row r="127" spans="1:7">
      <c r="A127" s="6" t="s">
        <v>21</v>
      </c>
      <c r="B127" s="6" t="s">
        <v>11</v>
      </c>
      <c r="C127" s="6" t="s">
        <v>15</v>
      </c>
      <c r="D127" s="6" t="s">
        <v>2</v>
      </c>
      <c r="E127" s="6">
        <v>733.1</v>
      </c>
      <c r="F127" s="6">
        <v>21</v>
      </c>
      <c r="G127" s="6">
        <v>0.26</v>
      </c>
    </row>
    <row r="128" spans="1:7">
      <c r="A128" s="6" t="s">
        <v>21</v>
      </c>
      <c r="B128" s="6" t="s">
        <v>11</v>
      </c>
      <c r="C128" s="6" t="s">
        <v>15</v>
      </c>
      <c r="D128" s="6" t="s">
        <v>2</v>
      </c>
      <c r="E128" s="6">
        <v>958.1</v>
      </c>
      <c r="F128" s="6">
        <v>6</v>
      </c>
      <c r="G128" s="6">
        <v>0.22</v>
      </c>
    </row>
    <row r="129" spans="1:7">
      <c r="A129" s="6" t="s">
        <v>21</v>
      </c>
      <c r="B129" s="6" t="s">
        <v>11</v>
      </c>
      <c r="C129" s="6" t="s">
        <v>15</v>
      </c>
      <c r="D129" s="6" t="s">
        <v>2</v>
      </c>
      <c r="E129" s="6">
        <v>919</v>
      </c>
      <c r="F129" s="6">
        <v>24</v>
      </c>
      <c r="G129" s="6">
        <v>0.41</v>
      </c>
    </row>
    <row r="130" spans="1:7">
      <c r="A130" s="6" t="s">
        <v>21</v>
      </c>
      <c r="B130" s="6" t="s">
        <v>11</v>
      </c>
      <c r="C130" s="6" t="s">
        <v>15</v>
      </c>
      <c r="D130" s="6" t="s">
        <v>2</v>
      </c>
      <c r="E130" s="6">
        <v>634</v>
      </c>
      <c r="F130" s="6">
        <v>51</v>
      </c>
      <c r="G130" s="6">
        <v>0.31</v>
      </c>
    </row>
    <row r="131" spans="1:7">
      <c r="A131" s="6" t="s">
        <v>21</v>
      </c>
      <c r="B131" s="6" t="s">
        <v>11</v>
      </c>
      <c r="C131" s="6" t="s">
        <v>15</v>
      </c>
      <c r="D131" s="6" t="s">
        <v>2</v>
      </c>
      <c r="E131" s="6">
        <v>535</v>
      </c>
      <c r="F131" s="6">
        <v>49</v>
      </c>
      <c r="G131" s="6">
        <v>0.27</v>
      </c>
    </row>
    <row r="132" spans="1:7">
      <c r="A132" s="6" t="s">
        <v>21</v>
      </c>
      <c r="B132" s="6" t="s">
        <v>11</v>
      </c>
      <c r="C132" s="6" t="s">
        <v>15</v>
      </c>
      <c r="D132" s="6" t="s">
        <v>2</v>
      </c>
      <c r="E132" s="6">
        <v>733.4</v>
      </c>
      <c r="F132" s="6">
        <v>33</v>
      </c>
      <c r="G132" s="6">
        <v>0.18</v>
      </c>
    </row>
    <row r="133" spans="1:7">
      <c r="A133" s="6" t="s">
        <v>21</v>
      </c>
      <c r="B133" s="6" t="s">
        <v>11</v>
      </c>
      <c r="C133" s="6" t="s">
        <v>15</v>
      </c>
      <c r="D133" s="6" t="s">
        <v>2</v>
      </c>
      <c r="E133" s="6">
        <v>646.79999999999995</v>
      </c>
      <c r="F133" s="6">
        <v>26</v>
      </c>
      <c r="G133" s="6">
        <v>0.16</v>
      </c>
    </row>
    <row r="134" spans="1:7">
      <c r="A134" s="6" t="s">
        <v>21</v>
      </c>
      <c r="B134" s="6" t="s">
        <v>11</v>
      </c>
      <c r="C134" s="6" t="s">
        <v>15</v>
      </c>
      <c r="D134" s="6" t="s">
        <v>2</v>
      </c>
      <c r="E134" s="6">
        <v>1002.9</v>
      </c>
      <c r="F134" s="6">
        <v>10</v>
      </c>
      <c r="G134" s="6">
        <v>0.31</v>
      </c>
    </row>
    <row r="135" spans="1:7">
      <c r="A135" s="6" t="s">
        <v>21</v>
      </c>
      <c r="B135" s="6" t="s">
        <v>12</v>
      </c>
      <c r="C135" s="6" t="s">
        <v>15</v>
      </c>
      <c r="D135" s="6" t="s">
        <v>6</v>
      </c>
      <c r="E135" s="6">
        <v>1618.4</v>
      </c>
    </row>
    <row r="136" spans="1:7">
      <c r="A136" s="6" t="s">
        <v>21</v>
      </c>
      <c r="B136" s="6" t="s">
        <v>12</v>
      </c>
      <c r="C136" s="6" t="s">
        <v>15</v>
      </c>
      <c r="D136" s="6" t="s">
        <v>6</v>
      </c>
      <c r="E136" s="6">
        <v>1649.4</v>
      </c>
    </row>
    <row r="137" spans="1:7">
      <c r="A137" s="6" t="s">
        <v>21</v>
      </c>
      <c r="B137" s="6" t="s">
        <v>12</v>
      </c>
      <c r="C137" s="6" t="s">
        <v>15</v>
      </c>
      <c r="D137" s="6" t="s">
        <v>6</v>
      </c>
      <c r="E137" s="6">
        <v>2169.6999999999998</v>
      </c>
    </row>
    <row r="138" spans="1:7">
      <c r="A138" s="6" t="s">
        <v>21</v>
      </c>
      <c r="B138" s="6" t="s">
        <v>12</v>
      </c>
      <c r="C138" s="6" t="s">
        <v>15</v>
      </c>
      <c r="D138" s="6" t="s">
        <v>6</v>
      </c>
      <c r="E138" s="6">
        <v>1489.3</v>
      </c>
    </row>
    <row r="139" spans="1:7">
      <c r="A139" s="6" t="s">
        <v>21</v>
      </c>
      <c r="B139" s="6" t="s">
        <v>12</v>
      </c>
      <c r="C139" s="6" t="s">
        <v>15</v>
      </c>
      <c r="D139" s="6" t="s">
        <v>6</v>
      </c>
      <c r="E139" s="6">
        <v>1496.9</v>
      </c>
    </row>
    <row r="140" spans="1:7">
      <c r="A140" s="6" t="s">
        <v>21</v>
      </c>
      <c r="B140" s="6" t="s">
        <v>12</v>
      </c>
      <c r="C140" s="6" t="s">
        <v>15</v>
      </c>
      <c r="D140" s="6" t="s">
        <v>6</v>
      </c>
      <c r="E140" s="6">
        <v>1910.7</v>
      </c>
    </row>
    <row r="141" spans="1:7">
      <c r="A141" s="6" t="s">
        <v>21</v>
      </c>
      <c r="B141" s="6" t="s">
        <v>12</v>
      </c>
      <c r="C141" s="6" t="s">
        <v>15</v>
      </c>
      <c r="D141" s="6" t="s">
        <v>6</v>
      </c>
      <c r="E141" s="6">
        <v>1879</v>
      </c>
    </row>
    <row r="142" spans="1:7">
      <c r="A142" s="6" t="s">
        <v>21</v>
      </c>
      <c r="B142" s="6" t="s">
        <v>12</v>
      </c>
      <c r="C142" s="6" t="s">
        <v>15</v>
      </c>
      <c r="D142" s="6" t="s">
        <v>6</v>
      </c>
      <c r="E142" s="6">
        <v>1591.6</v>
      </c>
    </row>
    <row r="143" spans="1:7">
      <c r="A143" s="6" t="s">
        <v>21</v>
      </c>
      <c r="B143" s="6" t="s">
        <v>12</v>
      </c>
      <c r="C143" s="6" t="s">
        <v>15</v>
      </c>
      <c r="D143" s="6" t="s">
        <v>6</v>
      </c>
      <c r="E143" s="6">
        <v>2071.8000000000002</v>
      </c>
    </row>
    <row r="144" spans="1:7">
      <c r="A144" s="6" t="s">
        <v>21</v>
      </c>
      <c r="B144" s="6" t="s">
        <v>12</v>
      </c>
      <c r="C144" s="6" t="s">
        <v>15</v>
      </c>
      <c r="D144" s="6" t="s">
        <v>6</v>
      </c>
      <c r="E144" s="6">
        <v>2025.3</v>
      </c>
    </row>
    <row r="145" spans="1:7">
      <c r="A145" s="6" t="s">
        <v>21</v>
      </c>
      <c r="B145" s="6" t="s">
        <v>12</v>
      </c>
      <c r="C145" s="6" t="s">
        <v>15</v>
      </c>
      <c r="D145" s="6" t="s">
        <v>2</v>
      </c>
      <c r="E145" s="6">
        <v>1919.6</v>
      </c>
      <c r="F145" s="6">
        <v>42</v>
      </c>
      <c r="G145" s="6">
        <v>0.42</v>
      </c>
    </row>
    <row r="146" spans="1:7">
      <c r="A146" s="6" t="s">
        <v>21</v>
      </c>
      <c r="B146" s="6" t="s">
        <v>12</v>
      </c>
      <c r="C146" s="6" t="s">
        <v>15</v>
      </c>
      <c r="D146" s="6" t="s">
        <v>2</v>
      </c>
      <c r="E146" s="6">
        <v>1748.2</v>
      </c>
      <c r="F146" s="6">
        <v>37</v>
      </c>
      <c r="G146" s="6">
        <v>0.33</v>
      </c>
    </row>
    <row r="147" spans="1:7">
      <c r="A147" s="6" t="s">
        <v>21</v>
      </c>
      <c r="B147" s="6" t="s">
        <v>12</v>
      </c>
      <c r="C147" s="6" t="s">
        <v>15</v>
      </c>
      <c r="D147" s="6" t="s">
        <v>2</v>
      </c>
      <c r="E147" s="6">
        <v>1405.9</v>
      </c>
      <c r="F147" s="6">
        <v>35</v>
      </c>
      <c r="G147" s="6">
        <v>0.37</v>
      </c>
    </row>
    <row r="148" spans="1:7">
      <c r="A148" s="6" t="s">
        <v>21</v>
      </c>
      <c r="B148" s="6" t="s">
        <v>12</v>
      </c>
      <c r="C148" s="6" t="s">
        <v>15</v>
      </c>
      <c r="D148" s="6" t="s">
        <v>2</v>
      </c>
      <c r="E148" s="6">
        <v>1815.5</v>
      </c>
      <c r="F148" s="6">
        <v>29</v>
      </c>
      <c r="G148" s="6">
        <v>0.2</v>
      </c>
    </row>
    <row r="149" spans="1:7">
      <c r="A149" s="6" t="s">
        <v>21</v>
      </c>
      <c r="B149" s="6" t="s">
        <v>12</v>
      </c>
      <c r="C149" s="6" t="s">
        <v>15</v>
      </c>
      <c r="D149" s="6" t="s">
        <v>2</v>
      </c>
      <c r="E149" s="6">
        <v>1613.6</v>
      </c>
      <c r="F149" s="6">
        <v>24</v>
      </c>
      <c r="G149" s="6">
        <v>0.43</v>
      </c>
    </row>
    <row r="150" spans="1:7">
      <c r="A150" s="6" t="s">
        <v>21</v>
      </c>
      <c r="B150" s="6" t="s">
        <v>12</v>
      </c>
      <c r="C150" s="6" t="s">
        <v>15</v>
      </c>
      <c r="D150" s="6" t="s">
        <v>2</v>
      </c>
      <c r="E150" s="6">
        <v>1905.8</v>
      </c>
      <c r="F150" s="6">
        <v>29</v>
      </c>
      <c r="G150" s="6">
        <v>0.45</v>
      </c>
    </row>
    <row r="151" spans="1:7">
      <c r="A151" s="6" t="s">
        <v>21</v>
      </c>
      <c r="B151" s="6" t="s">
        <v>12</v>
      </c>
      <c r="C151" s="6" t="s">
        <v>15</v>
      </c>
      <c r="D151" s="6" t="s">
        <v>2</v>
      </c>
      <c r="E151" s="6">
        <v>1512.9</v>
      </c>
      <c r="F151" s="6">
        <v>44</v>
      </c>
      <c r="G151" s="6">
        <v>0.53</v>
      </c>
    </row>
    <row r="152" spans="1:7">
      <c r="A152" s="6" t="s">
        <v>21</v>
      </c>
      <c r="B152" s="6" t="s">
        <v>12</v>
      </c>
      <c r="C152" s="6" t="s">
        <v>15</v>
      </c>
      <c r="D152" s="6" t="s">
        <v>2</v>
      </c>
      <c r="E152" s="6">
        <v>1958.2</v>
      </c>
      <c r="F152" s="6">
        <v>11</v>
      </c>
      <c r="G152" s="6">
        <v>0.23</v>
      </c>
    </row>
    <row r="153" spans="1:7">
      <c r="A153" s="6" t="s">
        <v>22</v>
      </c>
      <c r="B153" s="6" t="s">
        <v>9</v>
      </c>
      <c r="C153" s="6" t="s">
        <v>14</v>
      </c>
      <c r="D153" s="6" t="s">
        <v>2</v>
      </c>
      <c r="E153" s="8">
        <v>0.96730000000000005</v>
      </c>
      <c r="G153" s="6">
        <v>10.82</v>
      </c>
    </row>
    <row r="154" spans="1:7">
      <c r="A154" s="6" t="s">
        <v>22</v>
      </c>
      <c r="B154" s="6" t="s">
        <v>9</v>
      </c>
      <c r="C154" s="6" t="s">
        <v>14</v>
      </c>
      <c r="D154" s="6" t="s">
        <v>2</v>
      </c>
      <c r="E154" s="8">
        <v>0.70850000000000002</v>
      </c>
      <c r="G154" s="6">
        <v>2.35</v>
      </c>
    </row>
    <row r="155" spans="1:7">
      <c r="A155" s="6" t="s">
        <v>22</v>
      </c>
      <c r="B155" s="6" t="s">
        <v>9</v>
      </c>
      <c r="C155" s="6" t="s">
        <v>14</v>
      </c>
      <c r="D155" s="6" t="s">
        <v>2</v>
      </c>
      <c r="E155" s="8">
        <v>0.9264</v>
      </c>
      <c r="G155" s="6">
        <v>1.73</v>
      </c>
    </row>
    <row r="156" spans="1:7">
      <c r="A156" s="6" t="s">
        <v>22</v>
      </c>
      <c r="B156" s="6" t="s">
        <v>9</v>
      </c>
      <c r="C156" s="6" t="s">
        <v>14</v>
      </c>
      <c r="D156" s="6" t="s">
        <v>2</v>
      </c>
      <c r="E156" s="8">
        <v>0.37840000000000001</v>
      </c>
      <c r="G156" s="6">
        <v>1.83</v>
      </c>
    </row>
    <row r="157" spans="1:7">
      <c r="A157" s="6" t="s">
        <v>22</v>
      </c>
      <c r="B157" s="6" t="s">
        <v>9</v>
      </c>
      <c r="C157" s="6" t="s">
        <v>14</v>
      </c>
      <c r="D157" s="6" t="s">
        <v>2</v>
      </c>
      <c r="E157" s="8">
        <v>1.3331999999999999</v>
      </c>
      <c r="F157" s="6">
        <v>1</v>
      </c>
      <c r="G157" s="6">
        <v>4.3099999999999996</v>
      </c>
    </row>
    <row r="158" spans="1:7">
      <c r="A158" s="6" t="s">
        <v>22</v>
      </c>
      <c r="B158" s="6" t="s">
        <v>9</v>
      </c>
      <c r="C158" s="6" t="s">
        <v>14</v>
      </c>
      <c r="D158" s="6" t="s">
        <v>2</v>
      </c>
      <c r="E158" s="8">
        <v>0.9012</v>
      </c>
      <c r="G158" s="6">
        <v>1.68</v>
      </c>
    </row>
    <row r="159" spans="1:7">
      <c r="A159" s="6" t="s">
        <v>22</v>
      </c>
      <c r="B159" s="6" t="s">
        <v>9</v>
      </c>
      <c r="C159" s="6" t="s">
        <v>14</v>
      </c>
      <c r="D159" s="6" t="s">
        <v>2</v>
      </c>
      <c r="E159" s="8">
        <v>1.4043000000000001</v>
      </c>
      <c r="G159" s="6">
        <v>2.38</v>
      </c>
    </row>
    <row r="160" spans="1:7">
      <c r="A160" s="6" t="s">
        <v>22</v>
      </c>
      <c r="B160" s="6" t="s">
        <v>9</v>
      </c>
      <c r="C160" s="6" t="s">
        <v>14</v>
      </c>
      <c r="D160" s="6" t="s">
        <v>2</v>
      </c>
      <c r="E160" s="8">
        <v>1.5309999999999999</v>
      </c>
      <c r="G160" s="6">
        <v>0.48</v>
      </c>
    </row>
    <row r="161" spans="1:7">
      <c r="A161" s="6" t="s">
        <v>22</v>
      </c>
      <c r="B161" s="6" t="s">
        <v>9</v>
      </c>
      <c r="C161" s="6" t="s">
        <v>14</v>
      </c>
      <c r="D161" s="6" t="s">
        <v>2</v>
      </c>
      <c r="E161" s="8">
        <v>0.88539999999999996</v>
      </c>
      <c r="G161" s="6">
        <v>1.33</v>
      </c>
    </row>
    <row r="162" spans="1:7">
      <c r="A162" s="6" t="s">
        <v>22</v>
      </c>
      <c r="B162" s="6" t="s">
        <v>9</v>
      </c>
      <c r="C162" s="6" t="s">
        <v>14</v>
      </c>
      <c r="D162" s="6" t="s">
        <v>2</v>
      </c>
      <c r="E162" s="8" t="s">
        <v>23</v>
      </c>
    </row>
    <row r="163" spans="1:7">
      <c r="A163" s="6" t="s">
        <v>22</v>
      </c>
      <c r="B163" s="6" t="s">
        <v>9</v>
      </c>
      <c r="C163" s="6" t="s">
        <v>14</v>
      </c>
      <c r="D163" s="6" t="s">
        <v>2</v>
      </c>
      <c r="E163" s="8" t="s">
        <v>23</v>
      </c>
    </row>
    <row r="164" spans="1:7">
      <c r="A164" s="6" t="s">
        <v>22</v>
      </c>
      <c r="B164" s="6" t="s">
        <v>9</v>
      </c>
      <c r="C164" s="6" t="s">
        <v>14</v>
      </c>
      <c r="D164" s="6" t="s">
        <v>2</v>
      </c>
      <c r="E164" s="8" t="s">
        <v>23</v>
      </c>
    </row>
    <row r="165" spans="1:7">
      <c r="A165" s="6" t="s">
        <v>22</v>
      </c>
      <c r="B165" s="6" t="s">
        <v>10</v>
      </c>
      <c r="C165" s="6" t="s">
        <v>14</v>
      </c>
      <c r="D165" s="6" t="s">
        <v>2</v>
      </c>
      <c r="E165" s="8">
        <v>0.84530000000000005</v>
      </c>
      <c r="F165" s="6">
        <v>1</v>
      </c>
      <c r="G165" s="6">
        <v>1.84</v>
      </c>
    </row>
    <row r="166" spans="1:7">
      <c r="A166" s="6" t="s">
        <v>22</v>
      </c>
      <c r="B166" s="6" t="s">
        <v>10</v>
      </c>
      <c r="C166" s="6" t="s">
        <v>14</v>
      </c>
      <c r="D166" s="6" t="s">
        <v>2</v>
      </c>
      <c r="E166" s="8">
        <v>1.456</v>
      </c>
      <c r="F166" s="6">
        <v>2</v>
      </c>
      <c r="G166" s="6">
        <v>1.0900000000000001</v>
      </c>
    </row>
    <row r="167" spans="1:7">
      <c r="A167" s="6" t="s">
        <v>22</v>
      </c>
      <c r="B167" s="6" t="s">
        <v>10</v>
      </c>
      <c r="C167" s="6" t="s">
        <v>14</v>
      </c>
      <c r="D167" s="6" t="s">
        <v>2</v>
      </c>
      <c r="E167" s="8">
        <v>0.93569999999999998</v>
      </c>
      <c r="G167" s="6">
        <v>3.08</v>
      </c>
    </row>
    <row r="168" spans="1:7">
      <c r="A168" s="6" t="s">
        <v>22</v>
      </c>
      <c r="B168" s="6" t="s">
        <v>10</v>
      </c>
      <c r="C168" s="6" t="s">
        <v>14</v>
      </c>
      <c r="D168" s="6" t="s">
        <v>2</v>
      </c>
      <c r="E168" s="8">
        <v>0.98360000000000003</v>
      </c>
      <c r="G168" s="6">
        <v>0.94</v>
      </c>
    </row>
    <row r="169" spans="1:7">
      <c r="A169" s="6" t="s">
        <v>22</v>
      </c>
      <c r="B169" s="6" t="s">
        <v>10</v>
      </c>
      <c r="C169" s="6" t="s">
        <v>14</v>
      </c>
      <c r="D169" s="6" t="s">
        <v>2</v>
      </c>
      <c r="E169" s="8">
        <v>0.7833</v>
      </c>
      <c r="G169" s="6">
        <v>2.6</v>
      </c>
    </row>
    <row r="170" spans="1:7">
      <c r="A170" s="6" t="s">
        <v>22</v>
      </c>
      <c r="B170" s="6" t="s">
        <v>10</v>
      </c>
      <c r="C170" s="6" t="s">
        <v>14</v>
      </c>
      <c r="D170" s="6" t="s">
        <v>2</v>
      </c>
      <c r="E170" s="8">
        <v>0.54510000000000003</v>
      </c>
      <c r="G170" s="6">
        <v>0.96</v>
      </c>
    </row>
    <row r="171" spans="1:7">
      <c r="A171" s="6" t="s">
        <v>22</v>
      </c>
      <c r="B171" s="6" t="s">
        <v>10</v>
      </c>
      <c r="C171" s="6" t="s">
        <v>14</v>
      </c>
      <c r="D171" s="6" t="s">
        <v>2</v>
      </c>
      <c r="E171" s="8">
        <v>0.66659999999999997</v>
      </c>
      <c r="G171" s="6">
        <v>2.66</v>
      </c>
    </row>
    <row r="172" spans="1:7">
      <c r="A172" s="6" t="s">
        <v>22</v>
      </c>
      <c r="B172" s="6" t="s">
        <v>10</v>
      </c>
      <c r="C172" s="6" t="s">
        <v>14</v>
      </c>
      <c r="D172" s="6" t="s">
        <v>2</v>
      </c>
      <c r="E172" s="8">
        <v>0.58109999999999995</v>
      </c>
      <c r="G172" s="6">
        <v>2.0499999999999998</v>
      </c>
    </row>
    <row r="173" spans="1:7">
      <c r="A173" s="6" t="s">
        <v>22</v>
      </c>
      <c r="B173" s="6" t="s">
        <v>10</v>
      </c>
      <c r="C173" s="6" t="s">
        <v>14</v>
      </c>
      <c r="D173" s="6" t="s">
        <v>2</v>
      </c>
      <c r="E173" s="8">
        <v>1.0780000000000001</v>
      </c>
      <c r="G173" s="6">
        <v>2.88</v>
      </c>
    </row>
    <row r="174" spans="1:7">
      <c r="A174" s="6" t="s">
        <v>22</v>
      </c>
      <c r="B174" s="6" t="s">
        <v>10</v>
      </c>
      <c r="C174" s="6" t="s">
        <v>14</v>
      </c>
      <c r="D174" s="6" t="s">
        <v>2</v>
      </c>
      <c r="E174" s="8">
        <v>0.98980000000000001</v>
      </c>
      <c r="G174" s="6">
        <v>3.38</v>
      </c>
    </row>
    <row r="175" spans="1:7">
      <c r="A175" s="6" t="s">
        <v>22</v>
      </c>
      <c r="B175" s="6" t="s">
        <v>10</v>
      </c>
      <c r="C175" s="6" t="s">
        <v>14</v>
      </c>
      <c r="D175" s="6" t="s">
        <v>2</v>
      </c>
      <c r="E175" s="8" t="s">
        <v>23</v>
      </c>
    </row>
    <row r="176" spans="1:7">
      <c r="A176" s="6" t="s">
        <v>22</v>
      </c>
      <c r="B176" s="6" t="s">
        <v>10</v>
      </c>
      <c r="C176" s="6" t="s">
        <v>14</v>
      </c>
      <c r="D176" s="6" t="s">
        <v>2</v>
      </c>
      <c r="E176" s="8" t="s">
        <v>23</v>
      </c>
    </row>
    <row r="177" spans="1:7">
      <c r="A177" s="6" t="s">
        <v>22</v>
      </c>
      <c r="B177" s="6" t="s">
        <v>11</v>
      </c>
      <c r="C177" s="6" t="s">
        <v>15</v>
      </c>
      <c r="D177" s="6" t="s">
        <v>2</v>
      </c>
      <c r="E177" s="8">
        <v>0.9304</v>
      </c>
      <c r="G177" s="6">
        <v>3.11</v>
      </c>
    </row>
    <row r="178" spans="1:7">
      <c r="A178" s="6" t="s">
        <v>22</v>
      </c>
      <c r="B178" s="6" t="s">
        <v>11</v>
      </c>
      <c r="C178" s="6" t="s">
        <v>15</v>
      </c>
      <c r="D178" s="6" t="s">
        <v>2</v>
      </c>
      <c r="E178" s="8">
        <v>0.6361</v>
      </c>
      <c r="G178" s="6">
        <v>1.86</v>
      </c>
    </row>
    <row r="179" spans="1:7">
      <c r="A179" s="6" t="s">
        <v>22</v>
      </c>
      <c r="B179" s="6" t="s">
        <v>11</v>
      </c>
      <c r="C179" s="6" t="s">
        <v>15</v>
      </c>
      <c r="D179" s="6" t="s">
        <v>2</v>
      </c>
      <c r="E179" s="8">
        <v>0.72909999999999997</v>
      </c>
      <c r="G179" s="6">
        <v>2.06</v>
      </c>
    </row>
    <row r="180" spans="1:7">
      <c r="A180" s="6" t="s">
        <v>22</v>
      </c>
      <c r="B180" s="6" t="s">
        <v>11</v>
      </c>
      <c r="C180" s="6" t="s">
        <v>15</v>
      </c>
      <c r="D180" s="6" t="s">
        <v>2</v>
      </c>
      <c r="E180" s="8">
        <v>0.4299</v>
      </c>
      <c r="F180" s="6">
        <v>10</v>
      </c>
      <c r="G180" s="6">
        <v>1.97</v>
      </c>
    </row>
    <row r="181" spans="1:7">
      <c r="A181" s="6" t="s">
        <v>22</v>
      </c>
      <c r="B181" s="6" t="s">
        <v>11</v>
      </c>
      <c r="C181" s="6" t="s">
        <v>15</v>
      </c>
      <c r="D181" s="6" t="s">
        <v>2</v>
      </c>
      <c r="E181" s="8">
        <v>1.1589</v>
      </c>
      <c r="G181" s="6">
        <v>0.49</v>
      </c>
    </row>
    <row r="182" spans="1:7">
      <c r="A182" s="6" t="s">
        <v>22</v>
      </c>
      <c r="B182" s="6" t="s">
        <v>11</v>
      </c>
      <c r="C182" s="6" t="s">
        <v>15</v>
      </c>
      <c r="D182" s="6" t="s">
        <v>2</v>
      </c>
      <c r="E182" s="8">
        <v>1.3539000000000001</v>
      </c>
      <c r="G182" s="6">
        <v>0.91</v>
      </c>
    </row>
    <row r="183" spans="1:7">
      <c r="A183" s="6" t="s">
        <v>22</v>
      </c>
      <c r="B183" s="6" t="s">
        <v>11</v>
      </c>
      <c r="C183" s="6" t="s">
        <v>15</v>
      </c>
      <c r="D183" s="6" t="s">
        <v>2</v>
      </c>
      <c r="E183" s="8">
        <v>0.70650000000000002</v>
      </c>
      <c r="G183" s="6">
        <v>2.14</v>
      </c>
    </row>
    <row r="184" spans="1:7">
      <c r="A184" s="6" t="s">
        <v>22</v>
      </c>
      <c r="B184" s="6" t="s">
        <v>11</v>
      </c>
      <c r="C184" s="6" t="s">
        <v>15</v>
      </c>
      <c r="D184" s="6" t="s">
        <v>2</v>
      </c>
      <c r="E184" s="8">
        <v>0.74350000000000005</v>
      </c>
      <c r="G184" s="6">
        <v>2.74</v>
      </c>
    </row>
    <row r="185" spans="1:7">
      <c r="A185" s="6" t="s">
        <v>22</v>
      </c>
      <c r="B185" s="6" t="s">
        <v>11</v>
      </c>
      <c r="C185" s="6" t="s">
        <v>15</v>
      </c>
      <c r="D185" s="6" t="s">
        <v>2</v>
      </c>
      <c r="E185" s="8">
        <v>1.0646</v>
      </c>
      <c r="G185" s="6">
        <v>2.2799999999999998</v>
      </c>
    </row>
    <row r="186" spans="1:7">
      <c r="A186" s="6" t="s">
        <v>22</v>
      </c>
      <c r="B186" s="6" t="s">
        <v>11</v>
      </c>
      <c r="C186" s="6" t="s">
        <v>15</v>
      </c>
      <c r="D186" s="6" t="s">
        <v>2</v>
      </c>
      <c r="E186" s="8" t="s">
        <v>23</v>
      </c>
    </row>
    <row r="187" spans="1:7">
      <c r="A187" s="6" t="s">
        <v>22</v>
      </c>
      <c r="B187" s="6" t="s">
        <v>11</v>
      </c>
      <c r="C187" s="6" t="s">
        <v>15</v>
      </c>
      <c r="D187" s="6" t="s">
        <v>2</v>
      </c>
      <c r="E187" s="8" t="s">
        <v>23</v>
      </c>
    </row>
    <row r="188" spans="1:7">
      <c r="A188" s="6" t="s">
        <v>22</v>
      </c>
      <c r="B188" s="6" t="s">
        <v>11</v>
      </c>
      <c r="C188" s="6" t="s">
        <v>15</v>
      </c>
      <c r="D188" s="6" t="s">
        <v>2</v>
      </c>
      <c r="E188" s="8" t="s">
        <v>23</v>
      </c>
    </row>
    <row r="189" spans="1:7">
      <c r="A189" s="6" t="s">
        <v>22</v>
      </c>
      <c r="B189" s="6" t="s">
        <v>12</v>
      </c>
      <c r="C189" s="6" t="s">
        <v>15</v>
      </c>
      <c r="D189" s="6" t="s">
        <v>2</v>
      </c>
      <c r="E189" s="8">
        <v>0.90659999999999996</v>
      </c>
      <c r="G189" s="6">
        <v>2.13</v>
      </c>
    </row>
    <row r="190" spans="1:7">
      <c r="A190" s="6" t="s">
        <v>22</v>
      </c>
      <c r="B190" s="6" t="s">
        <v>12</v>
      </c>
      <c r="C190" s="6" t="s">
        <v>15</v>
      </c>
      <c r="D190" s="6" t="s">
        <v>2</v>
      </c>
      <c r="E190" s="8">
        <v>0.89739999999999998</v>
      </c>
      <c r="G190" s="6">
        <v>0.74</v>
      </c>
    </row>
    <row r="191" spans="1:7">
      <c r="A191" s="6" t="s">
        <v>22</v>
      </c>
      <c r="B191" s="6" t="s">
        <v>12</v>
      </c>
      <c r="C191" s="6" t="s">
        <v>15</v>
      </c>
      <c r="D191" s="6" t="s">
        <v>2</v>
      </c>
      <c r="E191" s="8">
        <v>0.63129999999999997</v>
      </c>
      <c r="G191" s="6">
        <v>0.95</v>
      </c>
    </row>
    <row r="192" spans="1:7">
      <c r="A192" s="6" t="s">
        <v>22</v>
      </c>
      <c r="B192" s="6" t="s">
        <v>12</v>
      </c>
      <c r="C192" s="6" t="s">
        <v>15</v>
      </c>
      <c r="D192" s="6" t="s">
        <v>2</v>
      </c>
      <c r="E192" s="8">
        <v>0.63490000000000002</v>
      </c>
      <c r="G192" s="6">
        <v>2.85</v>
      </c>
    </row>
    <row r="193" spans="1:7">
      <c r="A193" s="6" t="s">
        <v>22</v>
      </c>
      <c r="B193" s="6" t="s">
        <v>12</v>
      </c>
      <c r="C193" s="6" t="s">
        <v>15</v>
      </c>
      <c r="D193" s="6" t="s">
        <v>2</v>
      </c>
      <c r="E193" s="8">
        <v>0.68940000000000001</v>
      </c>
      <c r="G193" s="6">
        <v>1.89</v>
      </c>
    </row>
    <row r="194" spans="1:7">
      <c r="A194" s="6" t="s">
        <v>22</v>
      </c>
      <c r="B194" s="6" t="s">
        <v>12</v>
      </c>
      <c r="C194" s="6" t="s">
        <v>15</v>
      </c>
      <c r="D194" s="6" t="s">
        <v>2</v>
      </c>
      <c r="E194" s="8">
        <v>0.75990000000000002</v>
      </c>
      <c r="G194" s="6">
        <v>1.59</v>
      </c>
    </row>
    <row r="195" spans="1:7">
      <c r="A195" s="6" t="s">
        <v>22</v>
      </c>
      <c r="B195" s="6" t="s">
        <v>12</v>
      </c>
      <c r="C195" s="6" t="s">
        <v>15</v>
      </c>
      <c r="D195" s="6" t="s">
        <v>2</v>
      </c>
      <c r="E195" s="8">
        <v>1.4466000000000001</v>
      </c>
      <c r="G195" s="6">
        <v>0.83</v>
      </c>
    </row>
    <row r="196" spans="1:7">
      <c r="A196" s="6" t="s">
        <v>22</v>
      </c>
      <c r="B196" s="6" t="s">
        <v>12</v>
      </c>
      <c r="C196" s="6" t="s">
        <v>15</v>
      </c>
      <c r="D196" s="6" t="s">
        <v>2</v>
      </c>
      <c r="E196" s="8" t="s">
        <v>23</v>
      </c>
    </row>
    <row r="197" spans="1:7">
      <c r="A197" s="6" t="s">
        <v>22</v>
      </c>
      <c r="B197" s="6" t="s">
        <v>12</v>
      </c>
      <c r="C197" s="6" t="s">
        <v>15</v>
      </c>
      <c r="D197" s="6" t="s">
        <v>2</v>
      </c>
      <c r="E197" s="8" t="s">
        <v>23</v>
      </c>
    </row>
    <row r="198" spans="1:7">
      <c r="A198" s="6" t="s">
        <v>22</v>
      </c>
      <c r="B198" s="6" t="s">
        <v>12</v>
      </c>
      <c r="C198" s="6" t="s">
        <v>15</v>
      </c>
      <c r="D198" s="6" t="s">
        <v>2</v>
      </c>
      <c r="E198" s="8" t="s">
        <v>23</v>
      </c>
    </row>
    <row r="199" spans="1:7">
      <c r="A199" s="6" t="s">
        <v>22</v>
      </c>
      <c r="B199" s="6" t="s">
        <v>12</v>
      </c>
      <c r="C199" s="6" t="s">
        <v>15</v>
      </c>
      <c r="D199" s="6" t="s">
        <v>2</v>
      </c>
      <c r="E199" s="8" t="s">
        <v>23</v>
      </c>
    </row>
    <row r="200" spans="1:7">
      <c r="A200" s="6" t="s">
        <v>22</v>
      </c>
      <c r="B200" s="6" t="s">
        <v>12</v>
      </c>
      <c r="C200" s="6" t="s">
        <v>15</v>
      </c>
      <c r="D200" s="6" t="s">
        <v>2</v>
      </c>
      <c r="E200" s="8" t="s">
        <v>23</v>
      </c>
    </row>
    <row r="201" spans="1:7">
      <c r="A201" s="6" t="s">
        <v>24</v>
      </c>
      <c r="B201" s="6" t="s">
        <v>9</v>
      </c>
      <c r="C201" s="6" t="s">
        <v>14</v>
      </c>
      <c r="D201" s="6" t="s">
        <v>2</v>
      </c>
      <c r="E201" s="8">
        <v>0.89100000000000001</v>
      </c>
      <c r="G201" s="6">
        <v>4.05</v>
      </c>
    </row>
    <row r="202" spans="1:7">
      <c r="A202" s="6" t="s">
        <v>24</v>
      </c>
      <c r="B202" s="6" t="s">
        <v>9</v>
      </c>
      <c r="C202" s="6" t="s">
        <v>14</v>
      </c>
      <c r="D202" s="6" t="s">
        <v>2</v>
      </c>
      <c r="E202" s="8">
        <v>3.4094000000000002</v>
      </c>
      <c r="G202" s="6">
        <v>3.54</v>
      </c>
    </row>
    <row r="203" spans="1:7">
      <c r="A203" s="6" t="s">
        <v>24</v>
      </c>
      <c r="B203" s="6" t="s">
        <v>9</v>
      </c>
      <c r="C203" s="6" t="s">
        <v>14</v>
      </c>
      <c r="D203" s="6" t="s">
        <v>2</v>
      </c>
      <c r="E203" s="8"/>
    </row>
    <row r="204" spans="1:7">
      <c r="A204" s="6" t="s">
        <v>24</v>
      </c>
      <c r="B204" s="6" t="s">
        <v>9</v>
      </c>
      <c r="C204" s="6" t="s">
        <v>14</v>
      </c>
      <c r="D204" s="6" t="s">
        <v>2</v>
      </c>
      <c r="E204" s="8"/>
    </row>
    <row r="205" spans="1:7">
      <c r="A205" s="6" t="s">
        <v>24</v>
      </c>
      <c r="B205" s="6" t="s">
        <v>9</v>
      </c>
      <c r="C205" s="6" t="s">
        <v>14</v>
      </c>
      <c r="D205" s="6" t="s">
        <v>2</v>
      </c>
      <c r="E205" s="8"/>
    </row>
    <row r="206" spans="1:7">
      <c r="A206" s="6" t="s">
        <v>24</v>
      </c>
      <c r="B206" s="6" t="s">
        <v>10</v>
      </c>
      <c r="C206" s="6" t="s">
        <v>14</v>
      </c>
      <c r="D206" s="6" t="s">
        <v>2</v>
      </c>
      <c r="E206" s="8">
        <v>0.7026</v>
      </c>
      <c r="G206" s="6">
        <v>3.55</v>
      </c>
    </row>
    <row r="207" spans="1:7">
      <c r="A207" s="6" t="s">
        <v>24</v>
      </c>
      <c r="B207" s="6" t="s">
        <v>10</v>
      </c>
      <c r="C207" s="6" t="s">
        <v>14</v>
      </c>
      <c r="D207" s="6" t="s">
        <v>2</v>
      </c>
      <c r="E207" s="8">
        <v>2.6652</v>
      </c>
      <c r="G207" s="6">
        <v>5.0199999999999996</v>
      </c>
    </row>
    <row r="208" spans="1:7">
      <c r="A208" s="6" t="s">
        <v>24</v>
      </c>
      <c r="B208" s="6" t="s">
        <v>10</v>
      </c>
      <c r="C208" s="6" t="s">
        <v>14</v>
      </c>
      <c r="D208" s="6" t="s">
        <v>2</v>
      </c>
      <c r="E208" s="8">
        <v>1.7761</v>
      </c>
      <c r="G208" s="6">
        <v>4.93</v>
      </c>
    </row>
    <row r="209" spans="1:7">
      <c r="A209" s="6" t="s">
        <v>24</v>
      </c>
      <c r="B209" s="6" t="s">
        <v>10</v>
      </c>
      <c r="C209" s="6" t="s">
        <v>14</v>
      </c>
      <c r="D209" s="6" t="s">
        <v>2</v>
      </c>
      <c r="E209" s="8"/>
    </row>
    <row r="210" spans="1:7">
      <c r="A210" s="6" t="s">
        <v>24</v>
      </c>
      <c r="B210" s="6" t="s">
        <v>10</v>
      </c>
      <c r="C210" s="6" t="s">
        <v>14</v>
      </c>
      <c r="D210" s="6" t="s">
        <v>2</v>
      </c>
      <c r="E210" s="8"/>
    </row>
    <row r="211" spans="1:7">
      <c r="A211" s="6" t="s">
        <v>24</v>
      </c>
      <c r="B211" s="6" t="s">
        <v>11</v>
      </c>
      <c r="C211" s="6" t="s">
        <v>15</v>
      </c>
      <c r="D211" s="6" t="s">
        <v>2</v>
      </c>
      <c r="E211" s="8">
        <v>1.5670999999999999</v>
      </c>
      <c r="G211" s="6">
        <v>4.07</v>
      </c>
    </row>
    <row r="212" spans="1:7">
      <c r="A212" s="6" t="s">
        <v>24</v>
      </c>
      <c r="B212" s="6" t="s">
        <v>11</v>
      </c>
      <c r="C212" s="6" t="s">
        <v>15</v>
      </c>
      <c r="D212" s="6" t="s">
        <v>2</v>
      </c>
      <c r="E212" s="8">
        <v>2.1433</v>
      </c>
      <c r="G212" s="6">
        <v>5.51</v>
      </c>
    </row>
    <row r="213" spans="1:7">
      <c r="A213" s="6" t="s">
        <v>24</v>
      </c>
      <c r="B213" s="6" t="s">
        <v>11</v>
      </c>
      <c r="C213" s="6" t="s">
        <v>15</v>
      </c>
      <c r="D213" s="6" t="s">
        <v>2</v>
      </c>
      <c r="E213" s="8">
        <v>1.6973</v>
      </c>
      <c r="G213" s="6">
        <v>2.11</v>
      </c>
    </row>
    <row r="214" spans="1:7">
      <c r="A214" s="6" t="s">
        <v>24</v>
      </c>
      <c r="B214" s="6" t="s">
        <v>11</v>
      </c>
      <c r="C214" s="6" t="s">
        <v>15</v>
      </c>
      <c r="D214" s="6" t="s">
        <v>2</v>
      </c>
      <c r="E214" s="8"/>
    </row>
    <row r="215" spans="1:7">
      <c r="A215" s="6" t="s">
        <v>24</v>
      </c>
      <c r="B215" s="6" t="s">
        <v>11</v>
      </c>
      <c r="C215" s="6" t="s">
        <v>15</v>
      </c>
      <c r="D215" s="6" t="s">
        <v>2</v>
      </c>
      <c r="E215" s="8"/>
    </row>
    <row r="216" spans="1:7">
      <c r="A216" s="6" t="s">
        <v>24</v>
      </c>
      <c r="B216" s="6" t="s">
        <v>12</v>
      </c>
      <c r="C216" s="6" t="s">
        <v>15</v>
      </c>
      <c r="D216" s="6" t="s">
        <v>2</v>
      </c>
      <c r="E216" s="8">
        <v>1.643</v>
      </c>
      <c r="G216" s="6">
        <v>2.58</v>
      </c>
    </row>
    <row r="217" spans="1:7">
      <c r="A217" s="6" t="s">
        <v>24</v>
      </c>
      <c r="B217" s="6" t="s">
        <v>12</v>
      </c>
      <c r="C217" s="6" t="s">
        <v>15</v>
      </c>
      <c r="D217" s="6" t="s">
        <v>2</v>
      </c>
      <c r="E217" s="8">
        <v>0.96409999999999996</v>
      </c>
      <c r="G217" s="6">
        <v>3.82</v>
      </c>
    </row>
    <row r="218" spans="1:7">
      <c r="A218" s="6" t="s">
        <v>24</v>
      </c>
      <c r="B218" s="6" t="s">
        <v>12</v>
      </c>
      <c r="C218" s="6" t="s">
        <v>15</v>
      </c>
      <c r="D218" s="6" t="s">
        <v>2</v>
      </c>
      <c r="E218" s="8">
        <v>1.4688000000000001</v>
      </c>
      <c r="G218" s="6">
        <v>2.74</v>
      </c>
    </row>
    <row r="219" spans="1:7">
      <c r="A219" s="6" t="s">
        <v>24</v>
      </c>
      <c r="B219" s="6" t="s">
        <v>12</v>
      </c>
      <c r="C219" s="6" t="s">
        <v>15</v>
      </c>
      <c r="D219" s="6" t="s">
        <v>2</v>
      </c>
      <c r="E219" s="8"/>
    </row>
    <row r="220" spans="1:7">
      <c r="A220" s="6" t="s">
        <v>24</v>
      </c>
      <c r="B220" s="6" t="s">
        <v>12</v>
      </c>
      <c r="C220" s="6" t="s">
        <v>15</v>
      </c>
      <c r="D220" s="6" t="s">
        <v>2</v>
      </c>
      <c r="E220" s="8"/>
    </row>
  </sheetData>
  <autoFilter ref="A1:G1" xr:uid="{3DE0F7DC-4A67-4AB6-AB45-874185230B2A}"/>
  <sortState ref="S126:T151">
    <sortCondition ref="S126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27D-CBBD-4861-B86C-F51E926D663E}">
  <dimension ref="A2:O27"/>
  <sheetViews>
    <sheetView workbookViewId="0">
      <selection activeCell="B21" sqref="B21"/>
    </sheetView>
  </sheetViews>
  <sheetFormatPr defaultRowHeight="14.4"/>
  <sheetData>
    <row r="2" spans="1:15">
      <c r="B2" t="s">
        <v>4</v>
      </c>
      <c r="C2" t="s">
        <v>5</v>
      </c>
      <c r="F2" t="s">
        <v>4</v>
      </c>
      <c r="G2" t="s">
        <v>5</v>
      </c>
      <c r="J2" t="s">
        <v>4</v>
      </c>
      <c r="K2" t="s">
        <v>5</v>
      </c>
      <c r="N2" t="s">
        <v>4</v>
      </c>
      <c r="O2" t="s">
        <v>5</v>
      </c>
    </row>
    <row r="3" spans="1:15">
      <c r="A3" t="s">
        <v>6</v>
      </c>
      <c r="B3" s="2">
        <v>980.3</v>
      </c>
      <c r="C3" s="2">
        <v>497.8</v>
      </c>
      <c r="E3" t="s">
        <v>0</v>
      </c>
      <c r="F3" s="2">
        <v>1166.2</v>
      </c>
      <c r="G3" s="2">
        <v>560.1</v>
      </c>
      <c r="I3" t="s">
        <v>1</v>
      </c>
      <c r="J3" s="2">
        <v>400.6</v>
      </c>
      <c r="K3" s="2">
        <v>564.6</v>
      </c>
      <c r="M3" t="s">
        <v>2</v>
      </c>
      <c r="N3" s="2">
        <v>705</v>
      </c>
      <c r="O3" s="2">
        <v>809.5</v>
      </c>
    </row>
    <row r="4" spans="1:15">
      <c r="B4" s="2">
        <v>841.7</v>
      </c>
      <c r="C4" s="2">
        <v>793.5</v>
      </c>
      <c r="F4" s="2">
        <v>521.5</v>
      </c>
      <c r="G4" s="2">
        <v>705.6</v>
      </c>
      <c r="J4" s="2">
        <v>365</v>
      </c>
      <c r="K4" s="3">
        <v>525</v>
      </c>
      <c r="N4" s="2">
        <v>206.1</v>
      </c>
      <c r="O4" s="2">
        <v>619.5</v>
      </c>
    </row>
    <row r="5" spans="1:15">
      <c r="B5" s="2">
        <v>259</v>
      </c>
      <c r="C5" s="2">
        <v>538.9</v>
      </c>
      <c r="F5" s="2">
        <v>514.79999999999995</v>
      </c>
      <c r="G5" s="2">
        <v>784.9</v>
      </c>
      <c r="J5" s="2">
        <v>563.4</v>
      </c>
      <c r="K5" s="2">
        <v>635.70000000000005</v>
      </c>
      <c r="N5" s="2">
        <v>312.5</v>
      </c>
      <c r="O5" s="2">
        <v>418.4</v>
      </c>
    </row>
    <row r="6" spans="1:15">
      <c r="B6" s="1">
        <v>630.4</v>
      </c>
      <c r="C6" s="1">
        <v>604.4</v>
      </c>
      <c r="F6" s="2">
        <v>852.1</v>
      </c>
      <c r="G6" s="2">
        <v>734.3</v>
      </c>
      <c r="J6" s="2">
        <v>810.3</v>
      </c>
      <c r="K6" s="2">
        <v>815</v>
      </c>
      <c r="N6" s="2">
        <v>777.4</v>
      </c>
      <c r="O6" s="2">
        <v>482.2</v>
      </c>
    </row>
    <row r="7" spans="1:15">
      <c r="B7" s="1">
        <v>464.6</v>
      </c>
      <c r="C7" s="1">
        <v>703.8</v>
      </c>
      <c r="F7" s="2">
        <v>415.3</v>
      </c>
      <c r="G7" s="2">
        <v>704</v>
      </c>
      <c r="J7" s="2">
        <v>807</v>
      </c>
      <c r="K7" s="2">
        <v>796.5</v>
      </c>
      <c r="N7" s="2">
        <v>656.4</v>
      </c>
      <c r="O7" s="2">
        <v>707.5</v>
      </c>
    </row>
    <row r="8" spans="1:15">
      <c r="B8" s="1">
        <v>340.5</v>
      </c>
      <c r="C8" s="1">
        <v>335.8</v>
      </c>
      <c r="F8" s="2">
        <v>313.2</v>
      </c>
      <c r="G8" s="2">
        <v>780.6</v>
      </c>
      <c r="J8" s="2">
        <v>515.6</v>
      </c>
      <c r="K8" s="2">
        <v>522.9</v>
      </c>
      <c r="N8" s="2">
        <v>569.20000000000005</v>
      </c>
      <c r="O8" s="2">
        <v>719.1</v>
      </c>
    </row>
    <row r="9" spans="1:15">
      <c r="B9" s="2">
        <v>487.2</v>
      </c>
      <c r="C9" s="2">
        <v>858.6</v>
      </c>
      <c r="F9" s="1">
        <v>728.8</v>
      </c>
      <c r="G9" s="1">
        <v>688.5</v>
      </c>
      <c r="J9" s="1">
        <v>525.5</v>
      </c>
      <c r="K9" s="1">
        <v>273.7</v>
      </c>
      <c r="N9" s="1">
        <v>654.70000000000005</v>
      </c>
      <c r="O9" s="1">
        <v>784</v>
      </c>
    </row>
    <row r="10" spans="1:15">
      <c r="B10" s="3">
        <v>475.6</v>
      </c>
      <c r="C10" s="3">
        <v>601.79999999999995</v>
      </c>
      <c r="F10" s="1">
        <v>621.20000000000005</v>
      </c>
      <c r="G10" s="1">
        <v>932.8</v>
      </c>
      <c r="J10" s="1">
        <v>636.5</v>
      </c>
      <c r="K10" s="1">
        <v>628.1</v>
      </c>
      <c r="N10" s="1">
        <v>779.9</v>
      </c>
      <c r="O10" s="1">
        <v>473.4</v>
      </c>
    </row>
    <row r="11" spans="1:15">
      <c r="B11" s="2">
        <v>535.1</v>
      </c>
      <c r="C11" s="2">
        <v>856.4</v>
      </c>
      <c r="F11" s="1">
        <v>464.1</v>
      </c>
      <c r="G11" s="1">
        <v>349.5</v>
      </c>
      <c r="J11" s="1">
        <v>736.7</v>
      </c>
      <c r="K11" s="1">
        <v>462.6</v>
      </c>
      <c r="N11" s="1">
        <v>604.70000000000005</v>
      </c>
      <c r="O11" s="1">
        <v>336.2</v>
      </c>
    </row>
    <row r="12" spans="1:15">
      <c r="B12" s="1">
        <v>433.6</v>
      </c>
      <c r="C12" s="1">
        <v>870.9</v>
      </c>
      <c r="F12" s="1">
        <v>819.9</v>
      </c>
      <c r="G12" s="1">
        <v>579.70000000000005</v>
      </c>
      <c r="J12" s="1">
        <v>918.8</v>
      </c>
      <c r="K12" s="1">
        <v>410.7</v>
      </c>
      <c r="N12" s="1">
        <v>647.79999999999995</v>
      </c>
      <c r="O12" s="1">
        <v>426.3</v>
      </c>
    </row>
    <row r="13" spans="1:15">
      <c r="B13" s="1"/>
      <c r="C13" s="1">
        <v>496.1</v>
      </c>
      <c r="F13" s="1">
        <v>229.9</v>
      </c>
      <c r="G13" s="1">
        <v>335.3</v>
      </c>
      <c r="J13" s="1">
        <v>631.20000000000005</v>
      </c>
      <c r="K13" s="1">
        <v>543.5</v>
      </c>
      <c r="N13" s="1">
        <v>466.8</v>
      </c>
      <c r="O13" s="1">
        <v>1032</v>
      </c>
    </row>
    <row r="14" spans="1:15">
      <c r="B14" s="1">
        <v>679.4</v>
      </c>
      <c r="C14" s="1">
        <v>499.2</v>
      </c>
      <c r="F14" s="2">
        <v>596.9</v>
      </c>
      <c r="G14" s="2">
        <v>440.2</v>
      </c>
      <c r="J14" s="2">
        <v>540.1</v>
      </c>
      <c r="K14" s="2">
        <v>841.2</v>
      </c>
      <c r="N14" s="2">
        <v>336.9</v>
      </c>
      <c r="O14" s="2">
        <v>798.4</v>
      </c>
    </row>
    <row r="15" spans="1:15">
      <c r="B15">
        <f>AVERAGE(B3:B14)</f>
        <v>557.03636363636372</v>
      </c>
      <c r="C15">
        <f>AVERAGE(C3:C14)</f>
        <v>638.1</v>
      </c>
      <c r="F15" s="2">
        <v>671.3</v>
      </c>
      <c r="G15" s="2">
        <v>560.6</v>
      </c>
      <c r="J15" s="2">
        <v>509.3</v>
      </c>
      <c r="K15" s="2">
        <v>449.6</v>
      </c>
      <c r="N15" s="2">
        <v>790</v>
      </c>
      <c r="O15" s="2">
        <v>882.6</v>
      </c>
    </row>
    <row r="16" spans="1:15">
      <c r="F16" s="2">
        <v>765.6</v>
      </c>
      <c r="G16" s="2">
        <v>294.8</v>
      </c>
      <c r="J16" s="2">
        <v>421</v>
      </c>
      <c r="K16" s="2">
        <v>727.4</v>
      </c>
      <c r="N16" s="2">
        <v>667</v>
      </c>
      <c r="O16" s="2">
        <v>1146</v>
      </c>
    </row>
    <row r="17" spans="1:15">
      <c r="F17" s="2">
        <v>832.4</v>
      </c>
      <c r="G17" s="2">
        <v>468.6</v>
      </c>
      <c r="J17" s="2">
        <v>631.4</v>
      </c>
      <c r="K17" s="2">
        <v>291.8</v>
      </c>
      <c r="N17" s="2">
        <v>536.20000000000005</v>
      </c>
      <c r="O17" s="2">
        <v>803.8</v>
      </c>
    </row>
    <row r="18" spans="1:15">
      <c r="F18" s="2">
        <v>379.8</v>
      </c>
      <c r="G18" s="2">
        <v>579.9</v>
      </c>
      <c r="J18" s="2">
        <v>708.2</v>
      </c>
      <c r="K18" s="2">
        <v>624.29999999999995</v>
      </c>
      <c r="N18" s="2">
        <v>617.5</v>
      </c>
      <c r="O18" s="2">
        <v>937.4</v>
      </c>
    </row>
    <row r="19" spans="1:15">
      <c r="F19" s="2">
        <v>696</v>
      </c>
      <c r="G19" s="2">
        <v>668.1</v>
      </c>
      <c r="J19" s="2">
        <v>490.8</v>
      </c>
      <c r="K19" s="2"/>
      <c r="N19" s="2">
        <v>717.7</v>
      </c>
      <c r="O19" s="2">
        <v>889.6</v>
      </c>
    </row>
    <row r="20" spans="1:15">
      <c r="F20" s="1">
        <v>877.6</v>
      </c>
      <c r="G20" s="1">
        <v>745.3</v>
      </c>
      <c r="J20" s="1">
        <v>778.2</v>
      </c>
      <c r="K20" s="1">
        <v>533.1</v>
      </c>
      <c r="N20" s="1">
        <v>779.6</v>
      </c>
      <c r="O20" s="1">
        <v>543.1</v>
      </c>
    </row>
    <row r="21" spans="1:15">
      <c r="F21" s="1">
        <v>613.29999999999995</v>
      </c>
      <c r="G21" s="1">
        <v>688.7</v>
      </c>
      <c r="J21" s="1">
        <v>864.3</v>
      </c>
      <c r="K21" s="1">
        <v>734.6</v>
      </c>
      <c r="N21" s="1">
        <v>410.3</v>
      </c>
      <c r="O21" s="1">
        <v>553.4</v>
      </c>
    </row>
    <row r="22" spans="1:15">
      <c r="F22" s="1">
        <v>623.20000000000005</v>
      </c>
      <c r="G22" s="1">
        <v>825.9</v>
      </c>
      <c r="J22" s="1">
        <v>979.4</v>
      </c>
      <c r="K22" s="1">
        <v>676.4</v>
      </c>
      <c r="N22" s="1">
        <v>412.2</v>
      </c>
      <c r="O22" s="1">
        <v>824.5</v>
      </c>
    </row>
    <row r="23" spans="1:15">
      <c r="F23" s="1">
        <v>476.6</v>
      </c>
      <c r="G23" s="1">
        <v>501.3</v>
      </c>
      <c r="J23" s="1">
        <v>978.1</v>
      </c>
      <c r="K23" s="1">
        <v>417.3</v>
      </c>
      <c r="N23" s="1">
        <v>308.10000000000002</v>
      </c>
      <c r="O23" s="1">
        <v>940.1</v>
      </c>
    </row>
    <row r="24" spans="1:15">
      <c r="F24" s="1">
        <v>604.9</v>
      </c>
      <c r="G24" s="1">
        <v>494.3</v>
      </c>
      <c r="J24" s="1">
        <v>576.70000000000005</v>
      </c>
      <c r="K24" s="1">
        <v>453.5</v>
      </c>
      <c r="N24" s="1">
        <v>675.5</v>
      </c>
      <c r="O24" s="1">
        <v>576.70000000000005</v>
      </c>
    </row>
    <row r="25" spans="1:15">
      <c r="F25">
        <f>AVERAGE(F3:F24)</f>
        <v>626.57272727272721</v>
      </c>
      <c r="G25">
        <f>AVERAGE(G3:G24)</f>
        <v>610.13636363636351</v>
      </c>
      <c r="J25">
        <f>AVERAGE(J3:J24)</f>
        <v>654.00454545454545</v>
      </c>
      <c r="K25">
        <f>AVERAGE(K3:K24)</f>
        <v>567.97619047619048</v>
      </c>
      <c r="N25">
        <f>AVERAGE(N3:N24)</f>
        <v>574.15909090909099</v>
      </c>
      <c r="O25">
        <f>AVERAGE(O3:O24)</f>
        <v>713.8045454545454</v>
      </c>
    </row>
    <row r="27" spans="1:15">
      <c r="A27" t="s">
        <v>3</v>
      </c>
      <c r="B27" s="4">
        <f>TTEST(B3:B14,C3:C14,2,2)</f>
        <v>0.32923017196223947</v>
      </c>
      <c r="F27" s="4">
        <f>TTEST(F3:F24,G3:G24,2,2)</f>
        <v>0.77853293220654463</v>
      </c>
      <c r="J27" s="4">
        <f>TTEST(J3:J24,K3:K24,2,2)</f>
        <v>0.11124743507232286</v>
      </c>
      <c r="N27" s="4">
        <f>TTEST(N3:N24,O3:O24,2,2)</f>
        <v>2.4071976757048079E-2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Abbreviation</vt:lpstr>
      <vt:lpstr>raw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이하령</dc:creator>
  <cp:lastModifiedBy>이하령</cp:lastModifiedBy>
  <cp:lastPrinted>2025-12-03T05:27:42Z</cp:lastPrinted>
  <dcterms:created xsi:type="dcterms:W3CDTF">2024-05-10T00:28:08Z</dcterms:created>
  <dcterms:modified xsi:type="dcterms:W3CDTF">2026-01-29T06:52:10Z</dcterms:modified>
</cp:coreProperties>
</file>