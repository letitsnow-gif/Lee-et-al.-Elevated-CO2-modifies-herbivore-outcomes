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it\Dropbox\Lee et al_Climate change and plant-mediated herbivore interaction\Raw data\"/>
    </mc:Choice>
  </mc:AlternateContent>
  <xr:revisionPtr revIDLastSave="0" documentId="13_ncr:1_{A48B5320-553A-4ECC-A280-1609E959A8FF}" xr6:coauthVersionLast="36" xr6:coauthVersionMax="36" xr10:uidLastSave="{00000000-0000-0000-0000-000000000000}"/>
  <bookViews>
    <workbookView xWindow="0" yWindow="0" windowWidth="13788" windowHeight="4332" xr2:uid="{ED78E37F-580B-40A3-89B0-1153B8319E5F}"/>
  </bookViews>
  <sheets>
    <sheet name="Abbreviation" sheetId="17" r:id="rId1"/>
    <sheet name="raw data" sheetId="16" r:id="rId2"/>
    <sheet name="Sheet5" sheetId="15" state="hidden" r:id="rId3"/>
  </sheets>
  <definedNames>
    <definedName name="_xlnm._FilterDatabase" localSheetId="1" hidden="1">'raw data'!$A$1:$C$161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5" l="1"/>
  <c r="C15" i="15"/>
  <c r="F25" i="15"/>
  <c r="G25" i="15"/>
  <c r="K25" i="15"/>
  <c r="J25" i="15"/>
  <c r="O25" i="15"/>
  <c r="N25" i="15"/>
  <c r="N27" i="15"/>
  <c r="J27" i="15"/>
  <c r="F27" i="15"/>
  <c r="B27" i="15"/>
</calcChain>
</file>

<file path=xl/sharedStrings.xml><?xml version="1.0" encoding="utf-8"?>
<sst xmlns="http://schemas.openxmlformats.org/spreadsheetml/2006/main" count="542" uniqueCount="49">
  <si>
    <t>SPO</t>
  </si>
  <si>
    <t>GPA</t>
  </si>
  <si>
    <t>both</t>
  </si>
  <si>
    <t>ttest</t>
  </si>
  <si>
    <t>a</t>
  </si>
  <si>
    <t>e</t>
  </si>
  <si>
    <t>ctrl</t>
  </si>
  <si>
    <t>Date</t>
  </si>
  <si>
    <t>plant_freshmass</t>
  </si>
  <si>
    <t>herbivory</t>
  </si>
  <si>
    <t>spo</t>
  </si>
  <si>
    <t>gpa</t>
  </si>
  <si>
    <t>ac1</t>
  </si>
  <si>
    <t>ac2</t>
  </si>
  <si>
    <t>ec1</t>
  </si>
  <si>
    <t>ec2</t>
  </si>
  <si>
    <t>chamber</t>
  </si>
  <si>
    <t>ac</t>
  </si>
  <si>
    <t>ec</t>
  </si>
  <si>
    <t>co2</t>
  </si>
  <si>
    <t>spo_mass</t>
  </si>
  <si>
    <t>gpa_num</t>
  </si>
  <si>
    <t>ja</t>
  </si>
  <si>
    <t>sa</t>
  </si>
  <si>
    <t>aba</t>
  </si>
  <si>
    <t>Sampling</t>
  </si>
  <si>
    <t>Abbreviation</t>
  </si>
  <si>
    <t>CO2 treatment</t>
  </si>
  <si>
    <t>Ambient CO2 chamber</t>
  </si>
  <si>
    <t>Herbivory treatment</t>
  </si>
  <si>
    <t>Concentration of jasmonic acid (ng/g)</t>
  </si>
  <si>
    <t>Concentration of salicylic acid (ng/g)</t>
  </si>
  <si>
    <t>Concentration of abscisic acid (ng/g)</t>
  </si>
  <si>
    <t>5 November 2024</t>
  </si>
  <si>
    <t>19 November 2024</t>
  </si>
  <si>
    <t>26 November 2024</t>
  </si>
  <si>
    <t>29 October 2024</t>
  </si>
  <si>
    <t>Transplanting to pots</t>
  </si>
  <si>
    <t>Initiation of CO2 treatment</t>
  </si>
  <si>
    <t>Initiation of bioassay</t>
  </si>
  <si>
    <t>Individual chamber identity</t>
  </si>
  <si>
    <t>Elevated CO2 chamber</t>
  </si>
  <si>
    <t>Control (no herbivory)</t>
  </si>
  <si>
    <r>
      <t>Single herbivory (</t>
    </r>
    <r>
      <rPr>
        <i/>
        <sz val="11"/>
        <color theme="1"/>
        <rFont val="Times New Roman"/>
        <family val="1"/>
      </rPr>
      <t>S. litura</t>
    </r>
    <r>
      <rPr>
        <sz val="11"/>
        <color theme="1"/>
        <rFont val="Times New Roman"/>
        <family val="1"/>
      </rPr>
      <t>)</t>
    </r>
  </si>
  <si>
    <r>
      <t>Single herbivory (</t>
    </r>
    <r>
      <rPr>
        <i/>
        <sz val="11"/>
        <color theme="1"/>
        <rFont val="Times New Roman"/>
        <family val="1"/>
      </rPr>
      <t>M. persica</t>
    </r>
    <r>
      <rPr>
        <sz val="11"/>
        <color theme="1"/>
        <rFont val="Times New Roman"/>
        <family val="1"/>
      </rPr>
      <t>e)</t>
    </r>
  </si>
  <si>
    <r>
      <t>Dual herbivory (</t>
    </r>
    <r>
      <rPr>
        <i/>
        <sz val="11"/>
        <color theme="1"/>
        <rFont val="Times New Roman"/>
        <family val="1"/>
      </rPr>
      <t>S. litura</t>
    </r>
    <r>
      <rPr>
        <sz val="11"/>
        <color theme="1"/>
        <rFont val="Times New Roman"/>
        <family val="1"/>
      </rPr>
      <t xml:space="preserve"> + </t>
    </r>
    <r>
      <rPr>
        <i/>
        <sz val="11"/>
        <color theme="1"/>
        <rFont val="Times New Roman"/>
        <family val="1"/>
      </rPr>
      <t>M. persicae</t>
    </r>
    <r>
      <rPr>
        <sz val="11"/>
        <color theme="1"/>
        <rFont val="Times New Roman"/>
        <family val="1"/>
      </rPr>
      <t>)</t>
    </r>
  </si>
  <si>
    <r>
      <rPr>
        <i/>
        <sz val="11"/>
        <color theme="1"/>
        <rFont val="Times New Roman"/>
        <family val="1"/>
      </rPr>
      <t>M. persicae</t>
    </r>
    <r>
      <rPr>
        <sz val="11"/>
        <color theme="1"/>
        <rFont val="Times New Roman"/>
        <family val="1"/>
      </rPr>
      <t xml:space="preserve"> number</t>
    </r>
  </si>
  <si>
    <r>
      <rPr>
        <i/>
        <sz val="11"/>
        <color theme="1"/>
        <rFont val="Times New Roman"/>
        <family val="1"/>
      </rPr>
      <t xml:space="preserve">S. litura </t>
    </r>
    <r>
      <rPr>
        <sz val="11"/>
        <color theme="1"/>
        <rFont val="Times New Roman"/>
        <family val="1"/>
      </rPr>
      <t>larval mass</t>
    </r>
  </si>
  <si>
    <t>Aboveground plant fresh mass (mg)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</si>
</sst>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8">
    <xf numFmtId="0" fontId="0" fillId="0" borderId="0" xfId="0"/>
    <xf numFmtId="0" fontId="0" fillId="0" borderId="1" xfId="0" applyFill="1" applyBorder="1"/>
    <xf numFmtId="0" fontId="1" fillId="0" borderId="1" xfId="1" applyFill="1" applyBorder="1"/>
    <xf numFmtId="0" fontId="0" fillId="0" borderId="1" xfId="1" applyFont="1" applyFill="1" applyBorder="1"/>
    <xf numFmtId="0" fontId="1" fillId="3" borderId="0" xfId="2"/>
    <xf numFmtId="0" fontId="2" fillId="0" borderId="2" xfId="0" applyFont="1" applyBorder="1"/>
    <xf numFmtId="0" fontId="2" fillId="0" borderId="0" xfId="0" applyFont="1"/>
    <xf numFmtId="0" fontId="2" fillId="0" borderId="0" xfId="0" applyFont="1" applyBorder="1"/>
  </cellXfs>
  <cellStyles count="3">
    <cellStyle name="20% - 강조색1" xfId="1" builtinId="30"/>
    <cellStyle name="20% - 강조색2" xfId="2" builtinId="34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86247-0E27-4520-9567-08D57D2B119F}">
  <dimension ref="A1:B23"/>
  <sheetViews>
    <sheetView tabSelected="1" workbookViewId="0">
      <selection activeCell="D29" sqref="D29"/>
    </sheetView>
  </sheetViews>
  <sheetFormatPr defaultRowHeight="14.4"/>
  <cols>
    <col min="1" max="1" width="17.77734375" style="6" customWidth="1"/>
    <col min="2" max="2" width="8.88671875" style="6"/>
  </cols>
  <sheetData>
    <row r="1" spans="1:2" ht="15" thickBot="1">
      <c r="A1" s="5" t="s">
        <v>7</v>
      </c>
    </row>
    <row r="2" spans="1:2" ht="15" thickTop="1">
      <c r="A2" s="6" t="s">
        <v>36</v>
      </c>
      <c r="B2" s="6" t="s">
        <v>37</v>
      </c>
    </row>
    <row r="3" spans="1:2">
      <c r="A3" s="6" t="s">
        <v>33</v>
      </c>
      <c r="B3" s="6" t="s">
        <v>38</v>
      </c>
    </row>
    <row r="4" spans="1:2">
      <c r="A4" s="6" t="s">
        <v>34</v>
      </c>
      <c r="B4" s="6" t="s">
        <v>39</v>
      </c>
    </row>
    <row r="5" spans="1:2">
      <c r="A5" s="6" t="s">
        <v>35</v>
      </c>
      <c r="B5" s="6" t="s">
        <v>25</v>
      </c>
    </row>
    <row r="8" spans="1:2" ht="15" thickBot="1">
      <c r="A8" s="5" t="s">
        <v>26</v>
      </c>
    </row>
    <row r="9" spans="1:2" ht="15" thickTop="1">
      <c r="A9" s="7" t="s">
        <v>16</v>
      </c>
      <c r="B9" s="6" t="s">
        <v>40</v>
      </c>
    </row>
    <row r="10" spans="1:2">
      <c r="A10" s="6" t="s">
        <v>19</v>
      </c>
      <c r="B10" s="6" t="s">
        <v>27</v>
      </c>
    </row>
    <row r="11" spans="1:2">
      <c r="A11" s="6" t="s">
        <v>17</v>
      </c>
      <c r="B11" s="6" t="s">
        <v>28</v>
      </c>
    </row>
    <row r="12" spans="1:2">
      <c r="A12" s="6" t="s">
        <v>18</v>
      </c>
      <c r="B12" s="6" t="s">
        <v>41</v>
      </c>
    </row>
    <row r="13" spans="1:2">
      <c r="A13" s="6" t="s">
        <v>9</v>
      </c>
      <c r="B13" s="6" t="s">
        <v>29</v>
      </c>
    </row>
    <row r="14" spans="1:2">
      <c r="A14" s="6" t="s">
        <v>6</v>
      </c>
      <c r="B14" s="6" t="s">
        <v>42</v>
      </c>
    </row>
    <row r="15" spans="1:2">
      <c r="A15" s="6" t="s">
        <v>10</v>
      </c>
      <c r="B15" s="6" t="s">
        <v>43</v>
      </c>
    </row>
    <row r="16" spans="1:2">
      <c r="A16" s="6" t="s">
        <v>11</v>
      </c>
      <c r="B16" s="6" t="s">
        <v>44</v>
      </c>
    </row>
    <row r="17" spans="1:2">
      <c r="A17" s="6" t="s">
        <v>2</v>
      </c>
      <c r="B17" s="6" t="s">
        <v>45</v>
      </c>
    </row>
    <row r="18" spans="1:2">
      <c r="A18" s="6" t="s">
        <v>21</v>
      </c>
      <c r="B18" s="6" t="s">
        <v>46</v>
      </c>
    </row>
    <row r="19" spans="1:2">
      <c r="A19" s="6" t="s">
        <v>20</v>
      </c>
      <c r="B19" s="6" t="s">
        <v>47</v>
      </c>
    </row>
    <row r="20" spans="1:2">
      <c r="A20" s="6" t="s">
        <v>8</v>
      </c>
      <c r="B20" s="6" t="s">
        <v>48</v>
      </c>
    </row>
    <row r="21" spans="1:2">
      <c r="A21" s="6" t="s">
        <v>22</v>
      </c>
      <c r="B21" s="6" t="s">
        <v>30</v>
      </c>
    </row>
    <row r="22" spans="1:2">
      <c r="A22" s="6" t="s">
        <v>23</v>
      </c>
      <c r="B22" s="6" t="s">
        <v>31</v>
      </c>
    </row>
    <row r="23" spans="1:2">
      <c r="A23" s="6" t="s">
        <v>24</v>
      </c>
      <c r="B23" s="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7D07-61D8-462B-B123-78C297176E43}">
  <dimension ref="A1:I161"/>
  <sheetViews>
    <sheetView zoomScale="85" zoomScaleNormal="85" workbookViewId="0">
      <selection activeCell="G7" sqref="G7"/>
    </sheetView>
  </sheetViews>
  <sheetFormatPr defaultRowHeight="14.4"/>
  <cols>
    <col min="1" max="1" width="11.33203125" bestFit="1" customWidth="1"/>
    <col min="2" max="2" width="6.6640625" bestFit="1" customWidth="1"/>
    <col min="3" max="3" width="11.88671875" bestFit="1" customWidth="1"/>
    <col min="4" max="4" width="16.21875" bestFit="1" customWidth="1"/>
    <col min="5" max="5" width="10.109375" bestFit="1" customWidth="1"/>
    <col min="6" max="6" width="9.33203125" bestFit="1" customWidth="1"/>
    <col min="7" max="9" width="12.44140625" bestFit="1" customWidth="1"/>
    <col min="12" max="12" width="14.77734375" customWidth="1"/>
  </cols>
  <sheetData>
    <row r="1" spans="1:9">
      <c r="A1" t="s">
        <v>16</v>
      </c>
      <c r="B1" t="s">
        <v>19</v>
      </c>
      <c r="C1" t="s">
        <v>9</v>
      </c>
      <c r="D1" t="s">
        <v>8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>
      <c r="A2" t="s">
        <v>12</v>
      </c>
      <c r="B2" t="s">
        <v>17</v>
      </c>
      <c r="C2" t="s">
        <v>6</v>
      </c>
      <c r="D2">
        <v>678.8</v>
      </c>
      <c r="G2">
        <v>2075.8890487714471</v>
      </c>
      <c r="H2">
        <v>546.51132550125817</v>
      </c>
      <c r="I2">
        <v>5.0021811851481104</v>
      </c>
    </row>
    <row r="3" spans="1:9">
      <c r="A3" t="s">
        <v>12</v>
      </c>
      <c r="B3" t="s">
        <v>17</v>
      </c>
      <c r="C3" t="s">
        <v>6</v>
      </c>
      <c r="D3">
        <v>877.1</v>
      </c>
      <c r="G3">
        <v>1381.0035708435423</v>
      </c>
      <c r="H3">
        <v>146.08599641098414</v>
      </c>
      <c r="I3">
        <v>4.2365927773450771</v>
      </c>
    </row>
    <row r="4" spans="1:9">
      <c r="A4" t="s">
        <v>12</v>
      </c>
      <c r="B4" t="s">
        <v>17</v>
      </c>
      <c r="C4" t="s">
        <v>6</v>
      </c>
      <c r="D4">
        <v>895.7</v>
      </c>
      <c r="G4">
        <v>2322.2220989280627</v>
      </c>
      <c r="H4">
        <v>83.219143442386937</v>
      </c>
      <c r="I4">
        <v>2.8360960550565864</v>
      </c>
    </row>
    <row r="5" spans="1:9">
      <c r="A5" t="s">
        <v>12</v>
      </c>
      <c r="B5" t="s">
        <v>17</v>
      </c>
      <c r="C5" t="s">
        <v>6</v>
      </c>
      <c r="D5">
        <v>400.4</v>
      </c>
      <c r="G5">
        <v>1964.8739696582616</v>
      </c>
      <c r="H5">
        <v>168.98094894030928</v>
      </c>
      <c r="I5">
        <v>6.2698002314061929</v>
      </c>
    </row>
    <row r="6" spans="1:9">
      <c r="A6" t="s">
        <v>12</v>
      </c>
      <c r="B6" t="s">
        <v>17</v>
      </c>
      <c r="C6" t="s">
        <v>6</v>
      </c>
      <c r="D6">
        <v>629.9</v>
      </c>
      <c r="G6">
        <v>2194.0560792605834</v>
      </c>
      <c r="H6">
        <v>162.24588815996165</v>
      </c>
      <c r="I6">
        <v>5.2849002312597291</v>
      </c>
    </row>
    <row r="7" spans="1:9">
      <c r="A7" t="s">
        <v>12</v>
      </c>
      <c r="B7" t="s">
        <v>17</v>
      </c>
      <c r="C7" t="s">
        <v>6</v>
      </c>
      <c r="D7">
        <v>627.9</v>
      </c>
    </row>
    <row r="8" spans="1:9">
      <c r="A8" t="s">
        <v>12</v>
      </c>
      <c r="B8" t="s">
        <v>17</v>
      </c>
      <c r="C8" t="s">
        <v>6</v>
      </c>
      <c r="D8">
        <v>679</v>
      </c>
    </row>
    <row r="9" spans="1:9">
      <c r="A9" t="s">
        <v>12</v>
      </c>
      <c r="B9" t="s">
        <v>17</v>
      </c>
      <c r="C9" t="s">
        <v>6</v>
      </c>
      <c r="D9">
        <v>754.9</v>
      </c>
    </row>
    <row r="10" spans="1:9">
      <c r="A10" t="s">
        <v>12</v>
      </c>
      <c r="B10" t="s">
        <v>17</v>
      </c>
      <c r="C10" t="s">
        <v>6</v>
      </c>
      <c r="D10">
        <v>573.20000000000005</v>
      </c>
    </row>
    <row r="11" spans="1:9">
      <c r="A11" t="s">
        <v>12</v>
      </c>
      <c r="B11" t="s">
        <v>17</v>
      </c>
      <c r="C11" t="s">
        <v>6</v>
      </c>
      <c r="D11">
        <v>849</v>
      </c>
    </row>
    <row r="12" spans="1:9">
      <c r="A12" t="s">
        <v>12</v>
      </c>
      <c r="B12" t="s">
        <v>17</v>
      </c>
      <c r="C12" t="s">
        <v>10</v>
      </c>
      <c r="D12">
        <v>780.4</v>
      </c>
    </row>
    <row r="13" spans="1:9">
      <c r="A13" t="s">
        <v>12</v>
      </c>
      <c r="B13" t="s">
        <v>17</v>
      </c>
      <c r="C13" t="s">
        <v>10</v>
      </c>
      <c r="D13">
        <v>883.6</v>
      </c>
      <c r="E13">
        <v>0.11</v>
      </c>
      <c r="G13">
        <v>641.98414530679202</v>
      </c>
      <c r="H13">
        <v>115.87134567226558</v>
      </c>
      <c r="I13">
        <v>2.9195079492934641</v>
      </c>
    </row>
    <row r="14" spans="1:9">
      <c r="A14" t="s">
        <v>12</v>
      </c>
      <c r="B14" t="s">
        <v>17</v>
      </c>
      <c r="C14" t="s">
        <v>10</v>
      </c>
      <c r="D14">
        <v>311.39999999999998</v>
      </c>
      <c r="E14">
        <v>0.12</v>
      </c>
      <c r="G14">
        <v>909.14610983016848</v>
      </c>
      <c r="H14">
        <v>118.42460048057431</v>
      </c>
      <c r="I14">
        <v>2.245515197829381</v>
      </c>
    </row>
    <row r="15" spans="1:9">
      <c r="A15" t="s">
        <v>12</v>
      </c>
      <c r="B15" t="s">
        <v>17</v>
      </c>
      <c r="C15" t="s">
        <v>10</v>
      </c>
      <c r="D15">
        <v>695.2</v>
      </c>
    </row>
    <row r="16" spans="1:9">
      <c r="A16" t="s">
        <v>12</v>
      </c>
      <c r="B16" t="s">
        <v>17</v>
      </c>
      <c r="C16" t="s">
        <v>10</v>
      </c>
      <c r="D16">
        <v>350.1</v>
      </c>
      <c r="E16">
        <v>0.28999999999999998</v>
      </c>
      <c r="G16">
        <v>463.82730156121966</v>
      </c>
      <c r="H16">
        <v>453.52643902790589</v>
      </c>
      <c r="I16">
        <v>11.633241002700363</v>
      </c>
    </row>
    <row r="17" spans="1:9">
      <c r="A17" t="s">
        <v>12</v>
      </c>
      <c r="B17" t="s">
        <v>17</v>
      </c>
      <c r="C17" t="s">
        <v>10</v>
      </c>
      <c r="D17">
        <v>1015.2</v>
      </c>
      <c r="E17">
        <v>0.21</v>
      </c>
      <c r="G17">
        <v>2955.5937044122888</v>
      </c>
      <c r="H17">
        <v>107.60467295564013</v>
      </c>
      <c r="I17">
        <v>7.4121596752251016</v>
      </c>
    </row>
    <row r="18" spans="1:9">
      <c r="A18" t="s">
        <v>12</v>
      </c>
      <c r="B18" t="s">
        <v>17</v>
      </c>
      <c r="C18" t="s">
        <v>10</v>
      </c>
      <c r="D18">
        <v>990.5</v>
      </c>
      <c r="E18">
        <v>0.25</v>
      </c>
      <c r="G18">
        <v>623.0086569615861</v>
      </c>
      <c r="H18">
        <v>253.80371068025391</v>
      </c>
      <c r="I18">
        <v>3.3257801839589329</v>
      </c>
    </row>
    <row r="19" spans="1:9">
      <c r="A19" t="s">
        <v>12</v>
      </c>
      <c r="B19" t="s">
        <v>17</v>
      </c>
      <c r="C19" t="s">
        <v>10</v>
      </c>
      <c r="D19">
        <v>791.5</v>
      </c>
      <c r="E19">
        <v>0.13</v>
      </c>
      <c r="G19">
        <v>2382.2671602356354</v>
      </c>
      <c r="H19">
        <v>169.48541342864166</v>
      </c>
      <c r="I19">
        <v>4.3808331466507919</v>
      </c>
    </row>
    <row r="20" spans="1:9">
      <c r="A20" t="s">
        <v>12</v>
      </c>
      <c r="B20" t="s">
        <v>17</v>
      </c>
      <c r="C20" t="s">
        <v>10</v>
      </c>
      <c r="D20">
        <v>793.9</v>
      </c>
    </row>
    <row r="21" spans="1:9">
      <c r="A21" t="s">
        <v>12</v>
      </c>
      <c r="B21" t="s">
        <v>17</v>
      </c>
      <c r="C21" t="s">
        <v>10</v>
      </c>
      <c r="D21">
        <v>528.1</v>
      </c>
      <c r="E21">
        <v>0.23</v>
      </c>
      <c r="G21">
        <v>1141.4325178210697</v>
      </c>
      <c r="H21">
        <v>95.878258514806689</v>
      </c>
      <c r="I21">
        <v>6.4023866033858114</v>
      </c>
    </row>
    <row r="22" spans="1:9">
      <c r="A22" t="s">
        <v>12</v>
      </c>
      <c r="B22" t="s">
        <v>17</v>
      </c>
      <c r="C22" t="s">
        <v>11</v>
      </c>
      <c r="D22">
        <v>657.7</v>
      </c>
      <c r="F22">
        <v>10</v>
      </c>
      <c r="G22">
        <v>4858.5040032414845</v>
      </c>
      <c r="H22">
        <v>213.85447914877554</v>
      </c>
      <c r="I22">
        <v>6.0538015728435637</v>
      </c>
    </row>
    <row r="23" spans="1:9">
      <c r="A23" t="s">
        <v>12</v>
      </c>
      <c r="B23" t="s">
        <v>17</v>
      </c>
      <c r="C23" t="s">
        <v>11</v>
      </c>
      <c r="D23">
        <v>559.4</v>
      </c>
      <c r="F23">
        <v>6</v>
      </c>
      <c r="G23">
        <v>1980.9489474366694</v>
      </c>
      <c r="H23">
        <v>187.60524134877025</v>
      </c>
      <c r="I23">
        <v>4.4015626526852465</v>
      </c>
    </row>
    <row r="24" spans="1:9">
      <c r="A24" t="s">
        <v>12</v>
      </c>
      <c r="B24" t="s">
        <v>17</v>
      </c>
      <c r="C24" t="s">
        <v>11</v>
      </c>
      <c r="D24">
        <v>423.3</v>
      </c>
      <c r="F24">
        <v>6</v>
      </c>
      <c r="G24">
        <v>1927.3175766843324</v>
      </c>
      <c r="H24">
        <v>221.61888329842355</v>
      </c>
      <c r="I24">
        <v>6.4874074746319366</v>
      </c>
    </row>
    <row r="25" spans="1:9">
      <c r="A25" t="s">
        <v>12</v>
      </c>
      <c r="B25" t="s">
        <v>17</v>
      </c>
      <c r="C25" t="s">
        <v>11</v>
      </c>
      <c r="D25">
        <v>648.5</v>
      </c>
      <c r="F25">
        <v>12</v>
      </c>
      <c r="G25">
        <v>622.58987473218394</v>
      </c>
      <c r="H25">
        <v>115.55581136240536</v>
      </c>
      <c r="I25">
        <v>3.1483421567464087</v>
      </c>
    </row>
    <row r="26" spans="1:9">
      <c r="A26" t="s">
        <v>12</v>
      </c>
      <c r="B26" t="s">
        <v>17</v>
      </c>
      <c r="C26" t="s">
        <v>11</v>
      </c>
      <c r="D26">
        <v>344.3</v>
      </c>
      <c r="F26">
        <v>7</v>
      </c>
      <c r="G26">
        <v>959.47819967257874</v>
      </c>
      <c r="H26">
        <v>326.69135408472823</v>
      </c>
      <c r="I26">
        <v>8.1535152045471673</v>
      </c>
    </row>
    <row r="27" spans="1:9">
      <c r="A27" t="s">
        <v>12</v>
      </c>
      <c r="B27" t="s">
        <v>17</v>
      </c>
      <c r="C27" t="s">
        <v>11</v>
      </c>
      <c r="D27">
        <v>827.4</v>
      </c>
      <c r="F27">
        <v>6</v>
      </c>
    </row>
    <row r="28" spans="1:9">
      <c r="A28" t="s">
        <v>12</v>
      </c>
      <c r="B28" t="s">
        <v>17</v>
      </c>
      <c r="C28" t="s">
        <v>11</v>
      </c>
      <c r="D28">
        <v>698.2</v>
      </c>
      <c r="F28">
        <v>7</v>
      </c>
    </row>
    <row r="29" spans="1:9">
      <c r="A29" t="s">
        <v>12</v>
      </c>
      <c r="B29" t="s">
        <v>17</v>
      </c>
      <c r="C29" t="s">
        <v>11</v>
      </c>
      <c r="D29">
        <v>677.5</v>
      </c>
      <c r="F29">
        <v>11</v>
      </c>
    </row>
    <row r="30" spans="1:9">
      <c r="A30" t="s">
        <v>12</v>
      </c>
      <c r="B30" t="s">
        <v>17</v>
      </c>
      <c r="C30" t="s">
        <v>11</v>
      </c>
      <c r="D30">
        <v>712.6</v>
      </c>
      <c r="F30">
        <v>11</v>
      </c>
    </row>
    <row r="31" spans="1:9">
      <c r="A31" t="s">
        <v>12</v>
      </c>
      <c r="B31" t="s">
        <v>17</v>
      </c>
      <c r="C31" t="s">
        <v>11</v>
      </c>
      <c r="D31">
        <v>528.4</v>
      </c>
      <c r="F31">
        <v>5</v>
      </c>
    </row>
    <row r="32" spans="1:9">
      <c r="A32" t="s">
        <v>12</v>
      </c>
      <c r="B32" t="s">
        <v>17</v>
      </c>
      <c r="C32" t="s">
        <v>2</v>
      </c>
      <c r="D32">
        <v>1202.7</v>
      </c>
      <c r="F32">
        <v>8</v>
      </c>
    </row>
    <row r="33" spans="1:9">
      <c r="A33" t="s">
        <v>12</v>
      </c>
      <c r="B33" t="s">
        <v>17</v>
      </c>
      <c r="C33" t="s">
        <v>2</v>
      </c>
      <c r="D33">
        <v>777.4</v>
      </c>
      <c r="F33">
        <v>6</v>
      </c>
    </row>
    <row r="34" spans="1:9">
      <c r="A34" t="s">
        <v>12</v>
      </c>
      <c r="B34" t="s">
        <v>17</v>
      </c>
      <c r="C34" t="s">
        <v>2</v>
      </c>
      <c r="D34">
        <v>606.20000000000005</v>
      </c>
      <c r="F34">
        <v>5</v>
      </c>
    </row>
    <row r="35" spans="1:9">
      <c r="A35" t="s">
        <v>12</v>
      </c>
      <c r="B35" t="s">
        <v>17</v>
      </c>
      <c r="C35" t="s">
        <v>2</v>
      </c>
      <c r="D35">
        <v>627.70000000000005</v>
      </c>
      <c r="F35">
        <v>8</v>
      </c>
    </row>
    <row r="36" spans="1:9">
      <c r="A36" t="s">
        <v>12</v>
      </c>
      <c r="B36" t="s">
        <v>17</v>
      </c>
      <c r="C36" t="s">
        <v>2</v>
      </c>
      <c r="D36">
        <v>466.3</v>
      </c>
      <c r="E36">
        <v>0.16</v>
      </c>
      <c r="F36">
        <v>13</v>
      </c>
      <c r="G36">
        <v>3055.3836242580305</v>
      </c>
      <c r="H36">
        <v>117.65358568071953</v>
      </c>
      <c r="I36">
        <v>6.0112286706156759</v>
      </c>
    </row>
    <row r="37" spans="1:9">
      <c r="A37" t="s">
        <v>12</v>
      </c>
      <c r="B37" t="s">
        <v>17</v>
      </c>
      <c r="C37" t="s">
        <v>2</v>
      </c>
      <c r="D37">
        <v>642.20000000000005</v>
      </c>
      <c r="F37">
        <v>4</v>
      </c>
    </row>
    <row r="38" spans="1:9">
      <c r="A38" t="s">
        <v>12</v>
      </c>
      <c r="B38" t="s">
        <v>17</v>
      </c>
      <c r="C38" t="s">
        <v>2</v>
      </c>
      <c r="D38">
        <v>501</v>
      </c>
      <c r="E38">
        <v>0.15</v>
      </c>
      <c r="F38">
        <v>6</v>
      </c>
      <c r="G38">
        <v>923.74684795033363</v>
      </c>
      <c r="H38">
        <v>83.252680115266998</v>
      </c>
      <c r="I38">
        <v>6.5077113576673922</v>
      </c>
    </row>
    <row r="39" spans="1:9" ht="13.8" customHeight="1">
      <c r="A39" t="s">
        <v>12</v>
      </c>
      <c r="B39" t="s">
        <v>17</v>
      </c>
      <c r="C39" t="s">
        <v>2</v>
      </c>
      <c r="D39">
        <v>434</v>
      </c>
      <c r="F39">
        <v>8</v>
      </c>
    </row>
    <row r="40" spans="1:9">
      <c r="A40" t="s">
        <v>12</v>
      </c>
      <c r="B40" t="s">
        <v>17</v>
      </c>
      <c r="C40" t="s">
        <v>2</v>
      </c>
      <c r="D40">
        <v>803.9</v>
      </c>
      <c r="E40">
        <v>0.19</v>
      </c>
      <c r="F40">
        <v>5</v>
      </c>
      <c r="G40">
        <v>2838.6910890077129</v>
      </c>
      <c r="H40">
        <v>106.68974412561636</v>
      </c>
      <c r="I40">
        <v>3.5044554155458445</v>
      </c>
    </row>
    <row r="41" spans="1:9">
      <c r="A41" t="s">
        <v>12</v>
      </c>
      <c r="B41" t="s">
        <v>17</v>
      </c>
      <c r="C41" t="s">
        <v>2</v>
      </c>
      <c r="D41">
        <v>537.70000000000005</v>
      </c>
      <c r="E41">
        <v>0.15</v>
      </c>
      <c r="F41">
        <v>7</v>
      </c>
      <c r="G41">
        <v>2177.7435198745775</v>
      </c>
      <c r="H41">
        <v>92.717723043169556</v>
      </c>
      <c r="I41">
        <v>7.0275037507105829</v>
      </c>
    </row>
    <row r="42" spans="1:9">
      <c r="A42" t="s">
        <v>13</v>
      </c>
      <c r="B42" t="s">
        <v>17</v>
      </c>
      <c r="C42" t="s">
        <v>6</v>
      </c>
      <c r="D42">
        <v>731.1</v>
      </c>
      <c r="G42">
        <v>599.99427181462067</v>
      </c>
      <c r="H42">
        <v>107.69260597058889</v>
      </c>
      <c r="I42">
        <v>8.3175927451869267</v>
      </c>
    </row>
    <row r="43" spans="1:9">
      <c r="A43" t="s">
        <v>13</v>
      </c>
      <c r="B43" t="s">
        <v>17</v>
      </c>
      <c r="C43" t="s">
        <v>6</v>
      </c>
      <c r="D43">
        <v>332.6</v>
      </c>
      <c r="G43">
        <v>729.57173223773009</v>
      </c>
      <c r="H43">
        <v>155.28459006883472</v>
      </c>
      <c r="I43">
        <v>7.2693883174004448</v>
      </c>
    </row>
    <row r="44" spans="1:9">
      <c r="A44" t="s">
        <v>13</v>
      </c>
      <c r="B44" t="s">
        <v>17</v>
      </c>
      <c r="C44" t="s">
        <v>6</v>
      </c>
      <c r="D44">
        <v>881.6</v>
      </c>
      <c r="G44">
        <v>1394.3695087616024</v>
      </c>
      <c r="H44">
        <v>203.82839481127394</v>
      </c>
      <c r="I44">
        <v>2.7965161508857483</v>
      </c>
    </row>
    <row r="45" spans="1:9">
      <c r="A45" t="s">
        <v>13</v>
      </c>
      <c r="B45" t="s">
        <v>17</v>
      </c>
      <c r="C45" t="s">
        <v>6</v>
      </c>
      <c r="D45">
        <v>655.29999999999995</v>
      </c>
      <c r="G45">
        <v>990.18402213246463</v>
      </c>
      <c r="H45">
        <v>96.869851042953115</v>
      </c>
      <c r="I45">
        <v>8.869836001728725</v>
      </c>
    </row>
    <row r="46" spans="1:9">
      <c r="A46" t="s">
        <v>13</v>
      </c>
      <c r="B46" t="s">
        <v>17</v>
      </c>
      <c r="C46" t="s">
        <v>6</v>
      </c>
      <c r="D46">
        <v>535.6</v>
      </c>
      <c r="G46">
        <v>847.44537087075014</v>
      </c>
      <c r="H46">
        <v>128.28193658412835</v>
      </c>
      <c r="I46">
        <v>7.8484569712693553</v>
      </c>
    </row>
    <row r="47" spans="1:9">
      <c r="A47" t="s">
        <v>13</v>
      </c>
      <c r="B47" t="s">
        <v>17</v>
      </c>
      <c r="C47" t="s">
        <v>6</v>
      </c>
      <c r="D47">
        <v>584.70000000000005</v>
      </c>
    </row>
    <row r="48" spans="1:9">
      <c r="A48" t="s">
        <v>13</v>
      </c>
      <c r="B48" t="s">
        <v>17</v>
      </c>
      <c r="C48" t="s">
        <v>6</v>
      </c>
      <c r="D48">
        <v>593.4</v>
      </c>
    </row>
    <row r="49" spans="1:9">
      <c r="A49" t="s">
        <v>13</v>
      </c>
      <c r="B49" t="s">
        <v>17</v>
      </c>
      <c r="C49" t="s">
        <v>6</v>
      </c>
      <c r="D49">
        <v>528.6</v>
      </c>
    </row>
    <row r="50" spans="1:9">
      <c r="A50" t="s">
        <v>13</v>
      </c>
      <c r="B50" t="s">
        <v>17</v>
      </c>
      <c r="C50" t="s">
        <v>6</v>
      </c>
      <c r="D50">
        <v>324.8</v>
      </c>
    </row>
    <row r="51" spans="1:9">
      <c r="A51" t="s">
        <v>13</v>
      </c>
      <c r="B51" t="s">
        <v>17</v>
      </c>
      <c r="C51" t="s">
        <v>6</v>
      </c>
      <c r="D51">
        <v>732.4</v>
      </c>
    </row>
    <row r="52" spans="1:9">
      <c r="A52" t="s">
        <v>13</v>
      </c>
      <c r="B52" t="s">
        <v>17</v>
      </c>
      <c r="C52" t="s">
        <v>10</v>
      </c>
      <c r="D52">
        <v>610.79999999999995</v>
      </c>
    </row>
    <row r="53" spans="1:9">
      <c r="A53" t="s">
        <v>13</v>
      </c>
      <c r="B53" t="s">
        <v>17</v>
      </c>
      <c r="C53" t="s">
        <v>10</v>
      </c>
      <c r="D53">
        <v>231</v>
      </c>
    </row>
    <row r="54" spans="1:9">
      <c r="A54" t="s">
        <v>13</v>
      </c>
      <c r="B54" t="s">
        <v>17</v>
      </c>
      <c r="C54" t="s">
        <v>10</v>
      </c>
      <c r="D54">
        <v>723</v>
      </c>
      <c r="E54">
        <v>0.14000000000000001</v>
      </c>
      <c r="G54">
        <v>236.35747043404425</v>
      </c>
      <c r="H54">
        <v>126.86977742559577</v>
      </c>
      <c r="I54">
        <v>7.0254335567241961</v>
      </c>
    </row>
    <row r="55" spans="1:9">
      <c r="A55" t="s">
        <v>13</v>
      </c>
      <c r="B55" t="s">
        <v>17</v>
      </c>
      <c r="C55" t="s">
        <v>10</v>
      </c>
      <c r="D55">
        <v>392.3</v>
      </c>
    </row>
    <row r="56" spans="1:9">
      <c r="A56" t="s">
        <v>13</v>
      </c>
      <c r="B56" t="s">
        <v>17</v>
      </c>
      <c r="C56" t="s">
        <v>10</v>
      </c>
      <c r="D56">
        <v>833.7</v>
      </c>
    </row>
    <row r="57" spans="1:9">
      <c r="A57" t="s">
        <v>13</v>
      </c>
      <c r="B57" t="s">
        <v>17</v>
      </c>
      <c r="C57" t="s">
        <v>10</v>
      </c>
      <c r="D57">
        <v>883.4</v>
      </c>
      <c r="E57">
        <v>0.21</v>
      </c>
      <c r="G57">
        <v>515.1732104243722</v>
      </c>
      <c r="H57">
        <v>191.90115682949047</v>
      </c>
      <c r="I57">
        <v>8.1304913345930991</v>
      </c>
    </row>
    <row r="58" spans="1:9">
      <c r="A58" t="s">
        <v>13</v>
      </c>
      <c r="B58" t="s">
        <v>17</v>
      </c>
      <c r="C58" t="s">
        <v>10</v>
      </c>
      <c r="D58">
        <v>939.8</v>
      </c>
    </row>
    <row r="59" spans="1:9">
      <c r="A59" t="s">
        <v>13</v>
      </c>
      <c r="B59" t="s">
        <v>17</v>
      </c>
      <c r="C59" t="s">
        <v>10</v>
      </c>
      <c r="D59">
        <v>616.29999999999995</v>
      </c>
      <c r="E59">
        <v>0.16</v>
      </c>
      <c r="G59">
        <v>774.42717387496168</v>
      </c>
      <c r="H59">
        <v>129.89839234739017</v>
      </c>
      <c r="I59">
        <v>23.58072964281606</v>
      </c>
    </row>
    <row r="60" spans="1:9">
      <c r="A60" t="s">
        <v>13</v>
      </c>
      <c r="B60" t="s">
        <v>17</v>
      </c>
      <c r="C60" t="s">
        <v>10</v>
      </c>
      <c r="D60">
        <v>750.6</v>
      </c>
    </row>
    <row r="61" spans="1:9">
      <c r="A61" t="s">
        <v>13</v>
      </c>
      <c r="B61" t="s">
        <v>17</v>
      </c>
      <c r="C61" t="s">
        <v>10</v>
      </c>
      <c r="D61">
        <v>310.8</v>
      </c>
    </row>
    <row r="62" spans="1:9">
      <c r="A62" t="s">
        <v>13</v>
      </c>
      <c r="B62" t="s">
        <v>17</v>
      </c>
      <c r="C62" t="s">
        <v>11</v>
      </c>
      <c r="D62">
        <v>806.3</v>
      </c>
      <c r="F62">
        <v>11</v>
      </c>
      <c r="G62">
        <v>1293.7026224005233</v>
      </c>
      <c r="H62">
        <v>158.04683790561509</v>
      </c>
      <c r="I62">
        <v>7.3255563872368992</v>
      </c>
    </row>
    <row r="63" spans="1:9">
      <c r="A63" t="s">
        <v>13</v>
      </c>
      <c r="B63" t="s">
        <v>17</v>
      </c>
      <c r="C63" t="s">
        <v>11</v>
      </c>
      <c r="D63">
        <v>659.5</v>
      </c>
      <c r="F63">
        <v>6</v>
      </c>
      <c r="G63">
        <v>2292.5087225318994</v>
      </c>
      <c r="H63">
        <v>174.96070991208364</v>
      </c>
      <c r="I63">
        <v>10.312556370475027</v>
      </c>
    </row>
    <row r="64" spans="1:9">
      <c r="A64" t="s">
        <v>13</v>
      </c>
      <c r="B64" t="s">
        <v>17</v>
      </c>
      <c r="C64" t="s">
        <v>11</v>
      </c>
      <c r="D64">
        <v>482</v>
      </c>
      <c r="F64">
        <v>5</v>
      </c>
      <c r="G64">
        <v>7553.6891635951952</v>
      </c>
      <c r="H64">
        <v>203.21061335663813</v>
      </c>
      <c r="I64">
        <v>9.4387034179737093</v>
      </c>
    </row>
    <row r="65" spans="1:9">
      <c r="A65" t="s">
        <v>13</v>
      </c>
      <c r="B65" t="s">
        <v>17</v>
      </c>
      <c r="C65" t="s">
        <v>11</v>
      </c>
      <c r="D65">
        <v>1058.3</v>
      </c>
      <c r="F65">
        <v>9</v>
      </c>
      <c r="G65">
        <v>1467.4654371849454</v>
      </c>
      <c r="H65">
        <v>114.40065671388473</v>
      </c>
      <c r="I65">
        <v>5.3200294985340637</v>
      </c>
    </row>
    <row r="66" spans="1:9">
      <c r="A66" t="s">
        <v>13</v>
      </c>
      <c r="B66" t="s">
        <v>17</v>
      </c>
      <c r="C66" t="s">
        <v>11</v>
      </c>
      <c r="D66">
        <v>732.5</v>
      </c>
      <c r="F66">
        <v>8</v>
      </c>
      <c r="G66">
        <v>836.87938167611014</v>
      </c>
      <c r="H66">
        <v>245.02182598893557</v>
      </c>
      <c r="I66">
        <v>8.4752420641688317</v>
      </c>
    </row>
    <row r="67" spans="1:9">
      <c r="A67" t="s">
        <v>13</v>
      </c>
      <c r="B67" t="s">
        <v>17</v>
      </c>
      <c r="C67" t="s">
        <v>11</v>
      </c>
      <c r="D67">
        <v>469.9</v>
      </c>
      <c r="F67">
        <v>8</v>
      </c>
    </row>
    <row r="68" spans="1:9">
      <c r="A68" t="s">
        <v>13</v>
      </c>
      <c r="B68" t="s">
        <v>17</v>
      </c>
      <c r="C68" t="s">
        <v>11</v>
      </c>
      <c r="D68">
        <v>709.4</v>
      </c>
      <c r="F68">
        <v>8</v>
      </c>
    </row>
    <row r="69" spans="1:9">
      <c r="A69" t="s">
        <v>13</v>
      </c>
      <c r="B69" t="s">
        <v>17</v>
      </c>
      <c r="C69" t="s">
        <v>11</v>
      </c>
      <c r="D69">
        <v>696.1</v>
      </c>
      <c r="F69">
        <v>7</v>
      </c>
    </row>
    <row r="70" spans="1:9">
      <c r="A70" t="s">
        <v>13</v>
      </c>
      <c r="B70" t="s">
        <v>17</v>
      </c>
      <c r="C70" t="s">
        <v>11</v>
      </c>
      <c r="D70">
        <v>129.4</v>
      </c>
      <c r="F70">
        <v>5</v>
      </c>
    </row>
    <row r="71" spans="1:9">
      <c r="A71" t="s">
        <v>13</v>
      </c>
      <c r="B71" t="s">
        <v>17</v>
      </c>
      <c r="C71" t="s">
        <v>11</v>
      </c>
      <c r="D71">
        <v>228</v>
      </c>
      <c r="F71">
        <v>7</v>
      </c>
    </row>
    <row r="72" spans="1:9">
      <c r="A72" t="s">
        <v>13</v>
      </c>
      <c r="B72" t="s">
        <v>17</v>
      </c>
      <c r="C72" t="s">
        <v>2</v>
      </c>
      <c r="D72">
        <v>332.7</v>
      </c>
      <c r="F72">
        <v>8</v>
      </c>
    </row>
    <row r="73" spans="1:9">
      <c r="A73" t="s">
        <v>13</v>
      </c>
      <c r="B73" t="s">
        <v>17</v>
      </c>
      <c r="C73" t="s">
        <v>2</v>
      </c>
      <c r="D73">
        <v>709.8</v>
      </c>
      <c r="F73">
        <v>6</v>
      </c>
    </row>
    <row r="74" spans="1:9">
      <c r="A74" t="s">
        <v>13</v>
      </c>
      <c r="B74" t="s">
        <v>17</v>
      </c>
      <c r="C74" t="s">
        <v>2</v>
      </c>
      <c r="D74">
        <v>677</v>
      </c>
      <c r="E74">
        <v>0.14000000000000001</v>
      </c>
      <c r="F74">
        <v>5</v>
      </c>
      <c r="G74">
        <v>1391.6302064147417</v>
      </c>
      <c r="H74">
        <v>122.57652839667577</v>
      </c>
      <c r="I74">
        <v>8.6595773405884309</v>
      </c>
    </row>
    <row r="75" spans="1:9">
      <c r="A75" t="s">
        <v>13</v>
      </c>
      <c r="B75" t="s">
        <v>17</v>
      </c>
      <c r="C75" t="s">
        <v>2</v>
      </c>
      <c r="D75">
        <v>187</v>
      </c>
      <c r="E75">
        <v>0.18</v>
      </c>
      <c r="F75">
        <v>8</v>
      </c>
      <c r="G75">
        <v>1197.558926218006</v>
      </c>
      <c r="H75">
        <v>139.00623851152656</v>
      </c>
      <c r="I75">
        <v>8.9560175474134489</v>
      </c>
    </row>
    <row r="76" spans="1:9">
      <c r="A76" t="s">
        <v>13</v>
      </c>
      <c r="B76" t="s">
        <v>17</v>
      </c>
      <c r="C76" t="s">
        <v>2</v>
      </c>
      <c r="D76">
        <v>400.7</v>
      </c>
      <c r="E76">
        <v>0.4</v>
      </c>
      <c r="F76">
        <v>5</v>
      </c>
      <c r="G76">
        <v>1310.7601025131314</v>
      </c>
      <c r="H76">
        <v>329.84788064271743</v>
      </c>
      <c r="I76">
        <v>8.9060302874292319</v>
      </c>
    </row>
    <row r="77" spans="1:9">
      <c r="A77" t="s">
        <v>13</v>
      </c>
      <c r="B77" t="s">
        <v>17</v>
      </c>
      <c r="C77" t="s">
        <v>2</v>
      </c>
      <c r="D77">
        <v>241</v>
      </c>
      <c r="E77">
        <v>0.27</v>
      </c>
      <c r="F77">
        <v>6</v>
      </c>
      <c r="G77">
        <v>1861.630901188079</v>
      </c>
      <c r="H77">
        <v>169.91258048845589</v>
      </c>
      <c r="I77">
        <v>21.277206700318882</v>
      </c>
    </row>
    <row r="78" spans="1:9">
      <c r="A78" t="s">
        <v>13</v>
      </c>
      <c r="B78" t="s">
        <v>17</v>
      </c>
      <c r="C78" t="s">
        <v>2</v>
      </c>
      <c r="D78">
        <v>784.5</v>
      </c>
      <c r="E78">
        <v>0.23</v>
      </c>
      <c r="F78">
        <v>6</v>
      </c>
      <c r="G78">
        <v>2778.9595748603265</v>
      </c>
      <c r="H78">
        <v>242.32027228798208</v>
      </c>
      <c r="I78">
        <v>6.1653886902276183</v>
      </c>
    </row>
    <row r="79" spans="1:9">
      <c r="A79" t="s">
        <v>13</v>
      </c>
      <c r="B79" t="s">
        <v>17</v>
      </c>
      <c r="C79" t="s">
        <v>2</v>
      </c>
      <c r="D79">
        <v>549.70000000000005</v>
      </c>
      <c r="F79">
        <v>9</v>
      </c>
    </row>
    <row r="80" spans="1:9">
      <c r="A80" t="s">
        <v>13</v>
      </c>
      <c r="B80" t="s">
        <v>17</v>
      </c>
      <c r="C80" t="s">
        <v>2</v>
      </c>
      <c r="D80">
        <v>310.2</v>
      </c>
      <c r="F80">
        <v>6</v>
      </c>
    </row>
    <row r="81" spans="1:9">
      <c r="A81" t="s">
        <v>13</v>
      </c>
      <c r="B81" t="s">
        <v>17</v>
      </c>
      <c r="C81" t="s">
        <v>2</v>
      </c>
      <c r="D81">
        <v>899.7</v>
      </c>
      <c r="E81">
        <v>0.27</v>
      </c>
      <c r="F81">
        <v>11</v>
      </c>
    </row>
    <row r="82" spans="1:9">
      <c r="A82" t="s">
        <v>14</v>
      </c>
      <c r="B82" t="s">
        <v>18</v>
      </c>
      <c r="C82" t="s">
        <v>6</v>
      </c>
      <c r="D82">
        <v>719.3</v>
      </c>
      <c r="G82">
        <v>1232.7045337297948</v>
      </c>
      <c r="H82">
        <v>181.43174792293178</v>
      </c>
      <c r="I82">
        <v>9.3235163676965218</v>
      </c>
    </row>
    <row r="83" spans="1:9">
      <c r="A83" t="s">
        <v>14</v>
      </c>
      <c r="B83" t="s">
        <v>18</v>
      </c>
      <c r="C83" t="s">
        <v>6</v>
      </c>
      <c r="D83">
        <v>753.2</v>
      </c>
      <c r="G83">
        <v>1625.0824739275797</v>
      </c>
      <c r="H83">
        <v>444.47823866418037</v>
      </c>
      <c r="I83">
        <v>11.389566563157642</v>
      </c>
    </row>
    <row r="84" spans="1:9">
      <c r="A84" t="s">
        <v>14</v>
      </c>
      <c r="B84" t="s">
        <v>18</v>
      </c>
      <c r="C84" t="s">
        <v>6</v>
      </c>
      <c r="D84">
        <v>445.4</v>
      </c>
      <c r="G84">
        <v>1551.0008052398723</v>
      </c>
      <c r="H84">
        <v>159.06938175197425</v>
      </c>
      <c r="I84">
        <v>11.070358326758276</v>
      </c>
    </row>
    <row r="85" spans="1:9">
      <c r="A85" t="s">
        <v>14</v>
      </c>
      <c r="B85" t="s">
        <v>18</v>
      </c>
      <c r="C85" t="s">
        <v>6</v>
      </c>
      <c r="D85">
        <v>1057.5999999999999</v>
      </c>
      <c r="G85">
        <v>1414.0900726707396</v>
      </c>
      <c r="H85">
        <v>124.33780925946111</v>
      </c>
      <c r="I85">
        <v>8.1162006067218382</v>
      </c>
    </row>
    <row r="86" spans="1:9">
      <c r="A86" t="s">
        <v>14</v>
      </c>
      <c r="B86" t="s">
        <v>18</v>
      </c>
      <c r="C86" t="s">
        <v>6</v>
      </c>
      <c r="D86">
        <v>498.4</v>
      </c>
      <c r="G86">
        <v>1670.0053229471548</v>
      </c>
      <c r="H86">
        <v>260.68929335063666</v>
      </c>
      <c r="I86">
        <v>19.149382645627281</v>
      </c>
    </row>
    <row r="87" spans="1:9">
      <c r="A87" t="s">
        <v>14</v>
      </c>
      <c r="B87" t="s">
        <v>18</v>
      </c>
      <c r="C87" t="s">
        <v>6</v>
      </c>
      <c r="D87">
        <v>409.5</v>
      </c>
    </row>
    <row r="88" spans="1:9">
      <c r="A88" t="s">
        <v>14</v>
      </c>
      <c r="B88" t="s">
        <v>18</v>
      </c>
      <c r="C88" t="s">
        <v>6</v>
      </c>
      <c r="D88">
        <v>886.5</v>
      </c>
    </row>
    <row r="89" spans="1:9">
      <c r="A89" t="s">
        <v>14</v>
      </c>
      <c r="B89" t="s">
        <v>18</v>
      </c>
      <c r="C89" t="s">
        <v>6</v>
      </c>
      <c r="D89">
        <v>546.5</v>
      </c>
    </row>
    <row r="90" spans="1:9">
      <c r="A90" t="s">
        <v>14</v>
      </c>
      <c r="B90" t="s">
        <v>18</v>
      </c>
      <c r="C90" t="s">
        <v>6</v>
      </c>
      <c r="D90">
        <v>702.2</v>
      </c>
    </row>
    <row r="91" spans="1:9">
      <c r="A91" t="s">
        <v>14</v>
      </c>
      <c r="B91" t="s">
        <v>18</v>
      </c>
      <c r="C91" t="s">
        <v>6</v>
      </c>
      <c r="D91">
        <v>1113.7</v>
      </c>
    </row>
    <row r="92" spans="1:9">
      <c r="A92" t="s">
        <v>14</v>
      </c>
      <c r="B92" t="s">
        <v>18</v>
      </c>
      <c r="C92" t="s">
        <v>10</v>
      </c>
      <c r="D92">
        <v>851.2</v>
      </c>
    </row>
    <row r="93" spans="1:9">
      <c r="A93" t="s">
        <v>14</v>
      </c>
      <c r="B93" t="s">
        <v>18</v>
      </c>
      <c r="C93" t="s">
        <v>10</v>
      </c>
      <c r="D93">
        <v>479.5</v>
      </c>
    </row>
    <row r="94" spans="1:9">
      <c r="A94" t="s">
        <v>14</v>
      </c>
      <c r="B94" t="s">
        <v>18</v>
      </c>
      <c r="C94" t="s">
        <v>10</v>
      </c>
      <c r="D94">
        <v>812.3</v>
      </c>
      <c r="E94">
        <v>0.18</v>
      </c>
      <c r="G94">
        <v>728.18272687974707</v>
      </c>
      <c r="H94">
        <v>216.93400741396022</v>
      </c>
      <c r="I94">
        <v>7.3775312331737481</v>
      </c>
    </row>
    <row r="95" spans="1:9">
      <c r="A95" t="s">
        <v>14</v>
      </c>
      <c r="B95" t="s">
        <v>18</v>
      </c>
      <c r="C95" t="s">
        <v>10</v>
      </c>
      <c r="D95">
        <v>536.1</v>
      </c>
      <c r="E95">
        <v>0.15</v>
      </c>
      <c r="G95">
        <v>1162.4692422798344</v>
      </c>
      <c r="H95">
        <v>298.14214220304325</v>
      </c>
      <c r="I95">
        <v>11.997462668167774</v>
      </c>
    </row>
    <row r="96" spans="1:9">
      <c r="A96" t="s">
        <v>14</v>
      </c>
      <c r="B96" t="s">
        <v>18</v>
      </c>
      <c r="C96" t="s">
        <v>10</v>
      </c>
      <c r="D96">
        <v>992.3</v>
      </c>
      <c r="E96">
        <v>0.19</v>
      </c>
      <c r="G96">
        <v>875.92474765055988</v>
      </c>
      <c r="H96">
        <v>205.14138483610702</v>
      </c>
      <c r="I96">
        <v>12.428328207494472</v>
      </c>
    </row>
    <row r="97" spans="1:9">
      <c r="A97" t="s">
        <v>14</v>
      </c>
      <c r="B97" t="s">
        <v>18</v>
      </c>
      <c r="C97" t="s">
        <v>10</v>
      </c>
      <c r="D97">
        <v>420.4</v>
      </c>
    </row>
    <row r="98" spans="1:9">
      <c r="A98" t="s">
        <v>14</v>
      </c>
      <c r="B98" t="s">
        <v>18</v>
      </c>
      <c r="C98" t="s">
        <v>10</v>
      </c>
      <c r="D98">
        <v>766.7</v>
      </c>
      <c r="E98">
        <v>0.25</v>
      </c>
      <c r="G98">
        <v>428.73273773416173</v>
      </c>
      <c r="H98">
        <v>255.021364876452</v>
      </c>
      <c r="I98">
        <v>9.7832811232852652</v>
      </c>
    </row>
    <row r="99" spans="1:9">
      <c r="A99" t="s">
        <v>14</v>
      </c>
      <c r="B99" t="s">
        <v>18</v>
      </c>
      <c r="C99" t="s">
        <v>10</v>
      </c>
      <c r="D99">
        <v>750.8</v>
      </c>
    </row>
    <row r="100" spans="1:9">
      <c r="A100" t="s">
        <v>14</v>
      </c>
      <c r="B100" t="s">
        <v>18</v>
      </c>
      <c r="C100" t="s">
        <v>10</v>
      </c>
      <c r="D100">
        <v>784.5</v>
      </c>
    </row>
    <row r="101" spans="1:9">
      <c r="A101" t="s">
        <v>14</v>
      </c>
      <c r="B101" t="s">
        <v>18</v>
      </c>
      <c r="C101" t="s">
        <v>10</v>
      </c>
      <c r="D101">
        <v>1190.0999999999999</v>
      </c>
      <c r="E101">
        <v>0.37</v>
      </c>
      <c r="G101">
        <v>1011.6191460746276</v>
      </c>
      <c r="H101">
        <v>331.5417422311067</v>
      </c>
      <c r="I101">
        <v>10.449707207918555</v>
      </c>
    </row>
    <row r="102" spans="1:9">
      <c r="A102" t="s">
        <v>14</v>
      </c>
      <c r="B102" t="s">
        <v>18</v>
      </c>
      <c r="C102" t="s">
        <v>11</v>
      </c>
      <c r="D102">
        <v>612.5</v>
      </c>
      <c r="F102">
        <v>9</v>
      </c>
      <c r="G102">
        <v>2685.6449749082244</v>
      </c>
      <c r="H102">
        <v>312.95508855131379</v>
      </c>
      <c r="I102">
        <v>12.143678149656047</v>
      </c>
    </row>
    <row r="103" spans="1:9">
      <c r="A103" t="s">
        <v>14</v>
      </c>
      <c r="B103" t="s">
        <v>18</v>
      </c>
      <c r="C103" t="s">
        <v>11</v>
      </c>
      <c r="D103">
        <v>471.8</v>
      </c>
      <c r="F103">
        <v>5</v>
      </c>
      <c r="G103">
        <v>1417.987553665906</v>
      </c>
      <c r="H103">
        <v>357.10272788091521</v>
      </c>
      <c r="I103">
        <v>11.156562471058502</v>
      </c>
    </row>
    <row r="104" spans="1:9">
      <c r="A104" t="s">
        <v>14</v>
      </c>
      <c r="B104" t="s">
        <v>18</v>
      </c>
      <c r="C104" t="s">
        <v>11</v>
      </c>
      <c r="D104">
        <v>976.3</v>
      </c>
      <c r="F104">
        <v>10</v>
      </c>
      <c r="G104">
        <v>3233.8216608770272</v>
      </c>
      <c r="H104">
        <v>252.33099980825835</v>
      </c>
      <c r="I104">
        <v>11.503895434049188</v>
      </c>
    </row>
    <row r="105" spans="1:9">
      <c r="A105" t="s">
        <v>14</v>
      </c>
      <c r="B105" t="s">
        <v>18</v>
      </c>
      <c r="C105" t="s">
        <v>11</v>
      </c>
      <c r="D105">
        <v>573.20000000000005</v>
      </c>
      <c r="F105">
        <v>6</v>
      </c>
      <c r="G105">
        <v>2555.2828902216943</v>
      </c>
      <c r="H105">
        <v>520.30148826161417</v>
      </c>
      <c r="I105">
        <v>10.716780874245119</v>
      </c>
    </row>
    <row r="106" spans="1:9">
      <c r="A106" t="s">
        <v>14</v>
      </c>
      <c r="B106" t="s">
        <v>18</v>
      </c>
      <c r="C106" t="s">
        <v>11</v>
      </c>
      <c r="D106">
        <v>1255.0999999999999</v>
      </c>
      <c r="F106">
        <v>5</v>
      </c>
      <c r="G106">
        <v>1250.649086962949</v>
      </c>
      <c r="H106">
        <v>320.56098335171856</v>
      </c>
      <c r="I106">
        <v>11.374334822650477</v>
      </c>
    </row>
    <row r="107" spans="1:9">
      <c r="A107" t="s">
        <v>14</v>
      </c>
      <c r="B107" t="s">
        <v>18</v>
      </c>
      <c r="C107" t="s">
        <v>11</v>
      </c>
      <c r="D107">
        <v>1265.5</v>
      </c>
      <c r="F107">
        <v>6</v>
      </c>
    </row>
    <row r="108" spans="1:9">
      <c r="A108" t="s">
        <v>14</v>
      </c>
      <c r="B108" t="s">
        <v>18</v>
      </c>
      <c r="C108" t="s">
        <v>11</v>
      </c>
      <c r="D108">
        <v>638.6</v>
      </c>
      <c r="F108">
        <v>11</v>
      </c>
    </row>
    <row r="109" spans="1:9">
      <c r="A109" t="s">
        <v>14</v>
      </c>
      <c r="B109" t="s">
        <v>18</v>
      </c>
      <c r="C109" t="s">
        <v>11</v>
      </c>
      <c r="D109">
        <v>469.5</v>
      </c>
      <c r="F109">
        <v>5</v>
      </c>
    </row>
    <row r="110" spans="1:9">
      <c r="A110" t="s">
        <v>14</v>
      </c>
      <c r="B110" t="s">
        <v>18</v>
      </c>
      <c r="C110" t="s">
        <v>11</v>
      </c>
      <c r="D110">
        <v>641.29999999999995</v>
      </c>
      <c r="F110">
        <v>6</v>
      </c>
    </row>
    <row r="111" spans="1:9">
      <c r="A111" t="s">
        <v>14</v>
      </c>
      <c r="B111" t="s">
        <v>18</v>
      </c>
      <c r="C111" t="s">
        <v>11</v>
      </c>
      <c r="D111">
        <v>770.6</v>
      </c>
      <c r="F111">
        <v>5</v>
      </c>
    </row>
    <row r="112" spans="1:9">
      <c r="A112" t="s">
        <v>14</v>
      </c>
      <c r="B112" t="s">
        <v>18</v>
      </c>
      <c r="C112" t="s">
        <v>2</v>
      </c>
      <c r="D112">
        <v>635.29999999999995</v>
      </c>
      <c r="E112">
        <v>0.21</v>
      </c>
      <c r="F112">
        <v>7</v>
      </c>
      <c r="G112">
        <v>1418.1570006509828</v>
      </c>
      <c r="H112">
        <v>268.7041863687017</v>
      </c>
      <c r="I112">
        <v>13.184806409231513</v>
      </c>
    </row>
    <row r="113" spans="1:9">
      <c r="A113" t="s">
        <v>14</v>
      </c>
      <c r="B113" t="s">
        <v>18</v>
      </c>
      <c r="C113" t="s">
        <v>2</v>
      </c>
      <c r="D113">
        <v>525.70000000000005</v>
      </c>
      <c r="E113">
        <v>0.13</v>
      </c>
      <c r="F113">
        <v>5</v>
      </c>
      <c r="G113">
        <v>1397.0522609411207</v>
      </c>
      <c r="H113">
        <v>271.0782982671688</v>
      </c>
      <c r="I113">
        <v>8.2413171767690017</v>
      </c>
    </row>
    <row r="114" spans="1:9">
      <c r="A114" t="s">
        <v>14</v>
      </c>
      <c r="B114" t="s">
        <v>18</v>
      </c>
      <c r="C114" t="s">
        <v>2</v>
      </c>
      <c r="D114">
        <v>749.6</v>
      </c>
      <c r="E114">
        <v>0.15</v>
      </c>
      <c r="F114">
        <v>9</v>
      </c>
      <c r="G114">
        <v>713.51586753341155</v>
      </c>
      <c r="H114">
        <v>148.5605610026042</v>
      </c>
      <c r="I114">
        <v>8.8382514437411412</v>
      </c>
    </row>
    <row r="115" spans="1:9">
      <c r="A115" t="s">
        <v>14</v>
      </c>
      <c r="B115" t="s">
        <v>18</v>
      </c>
      <c r="C115" t="s">
        <v>2</v>
      </c>
      <c r="D115">
        <v>480</v>
      </c>
      <c r="F115">
        <v>7</v>
      </c>
    </row>
    <row r="116" spans="1:9">
      <c r="A116" t="s">
        <v>14</v>
      </c>
      <c r="B116" t="s">
        <v>18</v>
      </c>
      <c r="C116" t="s">
        <v>2</v>
      </c>
      <c r="D116">
        <v>630.29999999999995</v>
      </c>
      <c r="E116">
        <v>0.17</v>
      </c>
      <c r="F116">
        <v>6</v>
      </c>
      <c r="G116">
        <v>739.54900544837028</v>
      </c>
      <c r="H116">
        <v>487.31725728197364</v>
      </c>
      <c r="I116">
        <v>15.469076098521722</v>
      </c>
    </row>
    <row r="117" spans="1:9">
      <c r="A117" t="s">
        <v>14</v>
      </c>
      <c r="B117" t="s">
        <v>18</v>
      </c>
      <c r="C117" t="s">
        <v>2</v>
      </c>
      <c r="D117">
        <v>648.29999999999995</v>
      </c>
      <c r="E117">
        <v>0.15</v>
      </c>
      <c r="F117">
        <v>5</v>
      </c>
      <c r="G117">
        <v>2276.3232536730798</v>
      </c>
      <c r="H117">
        <v>134.19589682047834</v>
      </c>
      <c r="I117">
        <v>8.4898297980133606</v>
      </c>
    </row>
    <row r="118" spans="1:9">
      <c r="A118" t="s">
        <v>14</v>
      </c>
      <c r="B118" t="s">
        <v>18</v>
      </c>
      <c r="C118" t="s">
        <v>2</v>
      </c>
      <c r="D118">
        <v>554.6</v>
      </c>
      <c r="E118">
        <v>0.19</v>
      </c>
      <c r="F118">
        <v>7</v>
      </c>
      <c r="G118">
        <v>1172.4407279433151</v>
      </c>
      <c r="H118">
        <v>142.52407620282696</v>
      </c>
      <c r="I118">
        <v>8.6686021228819392</v>
      </c>
    </row>
    <row r="119" spans="1:9">
      <c r="A119" t="s">
        <v>14</v>
      </c>
      <c r="B119" t="s">
        <v>18</v>
      </c>
      <c r="C119" t="s">
        <v>2</v>
      </c>
      <c r="D119">
        <v>908</v>
      </c>
      <c r="E119">
        <v>0.1</v>
      </c>
      <c r="F119">
        <v>4</v>
      </c>
      <c r="G119">
        <v>1101.0842030053759</v>
      </c>
      <c r="H119">
        <v>139.08714456496992</v>
      </c>
      <c r="I119">
        <v>7.531874234378793</v>
      </c>
    </row>
    <row r="120" spans="1:9">
      <c r="A120" t="s">
        <v>14</v>
      </c>
      <c r="B120" t="s">
        <v>18</v>
      </c>
      <c r="C120" t="s">
        <v>2</v>
      </c>
      <c r="D120">
        <v>411.3</v>
      </c>
      <c r="E120">
        <v>0.19</v>
      </c>
      <c r="F120">
        <v>10</v>
      </c>
      <c r="G120">
        <v>1578.9720260586205</v>
      </c>
      <c r="H120">
        <v>361.81014132720958</v>
      </c>
      <c r="I120">
        <v>9.4463923903687412</v>
      </c>
    </row>
    <row r="121" spans="1:9">
      <c r="A121" t="s">
        <v>14</v>
      </c>
      <c r="B121" t="s">
        <v>18</v>
      </c>
      <c r="C121" t="s">
        <v>2</v>
      </c>
      <c r="D121">
        <v>1228.4000000000001</v>
      </c>
      <c r="F121">
        <v>10</v>
      </c>
    </row>
    <row r="122" spans="1:9">
      <c r="A122" t="s">
        <v>15</v>
      </c>
      <c r="B122" t="s">
        <v>18</v>
      </c>
      <c r="C122" t="s">
        <v>6</v>
      </c>
      <c r="D122">
        <v>688.2</v>
      </c>
      <c r="G122">
        <v>1058.6921021509654</v>
      </c>
      <c r="H122">
        <v>131.9789933890317</v>
      </c>
      <c r="I122">
        <v>9.7995666746566599</v>
      </c>
    </row>
    <row r="123" spans="1:9">
      <c r="A123" t="s">
        <v>15</v>
      </c>
      <c r="B123" t="s">
        <v>18</v>
      </c>
      <c r="C123" t="s">
        <v>6</v>
      </c>
      <c r="D123">
        <v>519.5</v>
      </c>
      <c r="G123">
        <v>2397.3219006370668</v>
      </c>
      <c r="H123">
        <v>233.1534166307448</v>
      </c>
      <c r="I123">
        <v>13.239196666140879</v>
      </c>
    </row>
    <row r="124" spans="1:9">
      <c r="A124" t="s">
        <v>15</v>
      </c>
      <c r="B124" t="s">
        <v>18</v>
      </c>
      <c r="C124" t="s">
        <v>6</v>
      </c>
      <c r="D124">
        <v>990.4</v>
      </c>
      <c r="G124">
        <v>1253.8969127396076</v>
      </c>
      <c r="H124">
        <v>239.29322204356973</v>
      </c>
      <c r="I124">
        <v>13.770334509607423</v>
      </c>
    </row>
    <row r="125" spans="1:9">
      <c r="A125" t="s">
        <v>15</v>
      </c>
      <c r="B125" t="s">
        <v>18</v>
      </c>
      <c r="C125" t="s">
        <v>6</v>
      </c>
      <c r="D125">
        <v>463.4</v>
      </c>
      <c r="G125">
        <v>1709.880092016695</v>
      </c>
      <c r="H125">
        <v>357.47840939361089</v>
      </c>
      <c r="I125">
        <v>62.626300271950058</v>
      </c>
    </row>
    <row r="126" spans="1:9">
      <c r="A126" t="s">
        <v>15</v>
      </c>
      <c r="B126" t="s">
        <v>18</v>
      </c>
      <c r="C126" t="s">
        <v>6</v>
      </c>
      <c r="D126">
        <v>690.6</v>
      </c>
      <c r="G126">
        <v>1483.8409547118945</v>
      </c>
      <c r="H126">
        <v>275.597626732778</v>
      </c>
      <c r="I126">
        <v>15.523833901058936</v>
      </c>
    </row>
    <row r="127" spans="1:9">
      <c r="A127" t="s">
        <v>15</v>
      </c>
      <c r="B127" t="s">
        <v>18</v>
      </c>
      <c r="C127" t="s">
        <v>6</v>
      </c>
      <c r="D127">
        <v>360.3</v>
      </c>
    </row>
    <row r="128" spans="1:9">
      <c r="A128" t="s">
        <v>15</v>
      </c>
      <c r="B128" t="s">
        <v>18</v>
      </c>
      <c r="C128" t="s">
        <v>6</v>
      </c>
      <c r="D128">
        <v>559.70000000000005</v>
      </c>
    </row>
    <row r="129" spans="1:9">
      <c r="A129" t="s">
        <v>15</v>
      </c>
      <c r="B129" t="s">
        <v>18</v>
      </c>
      <c r="C129" t="s">
        <v>6</v>
      </c>
      <c r="D129">
        <v>787.8</v>
      </c>
    </row>
    <row r="130" spans="1:9">
      <c r="A130" t="s">
        <v>15</v>
      </c>
      <c r="B130" t="s">
        <v>18</v>
      </c>
      <c r="C130" t="s">
        <v>6</v>
      </c>
      <c r="D130">
        <v>622.29999999999995</v>
      </c>
    </row>
    <row r="131" spans="1:9">
      <c r="A131" t="s">
        <v>15</v>
      </c>
      <c r="B131" t="s">
        <v>18</v>
      </c>
      <c r="C131" t="s">
        <v>6</v>
      </c>
      <c r="D131">
        <v>553.9</v>
      </c>
    </row>
    <row r="132" spans="1:9">
      <c r="A132" t="s">
        <v>15</v>
      </c>
      <c r="B132" t="s">
        <v>18</v>
      </c>
      <c r="C132" t="s">
        <v>10</v>
      </c>
      <c r="D132">
        <v>643.4</v>
      </c>
    </row>
    <row r="133" spans="1:9">
      <c r="A133" t="s">
        <v>15</v>
      </c>
      <c r="B133" t="s">
        <v>18</v>
      </c>
      <c r="C133" t="s">
        <v>10</v>
      </c>
      <c r="D133">
        <v>648</v>
      </c>
      <c r="E133">
        <v>0.12</v>
      </c>
      <c r="G133">
        <v>1193.132388450492</v>
      </c>
      <c r="H133">
        <v>164.00156506852665</v>
      </c>
      <c r="I133">
        <v>12.460009362483078</v>
      </c>
    </row>
    <row r="134" spans="1:9">
      <c r="A134" t="s">
        <v>15</v>
      </c>
      <c r="B134" t="s">
        <v>18</v>
      </c>
      <c r="C134" t="s">
        <v>10</v>
      </c>
      <c r="D134">
        <v>643.6</v>
      </c>
      <c r="E134">
        <v>0.13</v>
      </c>
      <c r="G134">
        <v>1153.6665505931999</v>
      </c>
      <c r="H134">
        <v>179.42360871299095</v>
      </c>
      <c r="I134">
        <v>15.049370602809322</v>
      </c>
    </row>
    <row r="135" spans="1:9">
      <c r="A135" t="s">
        <v>15</v>
      </c>
      <c r="B135" t="s">
        <v>18</v>
      </c>
      <c r="C135" t="s">
        <v>10</v>
      </c>
      <c r="D135">
        <v>358.3</v>
      </c>
      <c r="E135">
        <v>0.12</v>
      </c>
      <c r="G135">
        <v>553.7947690923861</v>
      </c>
      <c r="H135">
        <v>385.36972437267127</v>
      </c>
      <c r="I135">
        <v>19.336427834083715</v>
      </c>
    </row>
    <row r="136" spans="1:9">
      <c r="A136" t="s">
        <v>15</v>
      </c>
      <c r="B136" t="s">
        <v>18</v>
      </c>
      <c r="C136" t="s">
        <v>10</v>
      </c>
      <c r="D136">
        <v>1134.9000000000001</v>
      </c>
    </row>
    <row r="137" spans="1:9">
      <c r="A137" t="s">
        <v>15</v>
      </c>
      <c r="B137" t="s">
        <v>18</v>
      </c>
      <c r="C137" t="s">
        <v>10</v>
      </c>
      <c r="D137">
        <v>394</v>
      </c>
      <c r="E137">
        <v>0.18</v>
      </c>
      <c r="G137">
        <v>839.69629587201689</v>
      </c>
      <c r="H137">
        <v>333.20932838765071</v>
      </c>
      <c r="I137">
        <v>13.19426763615226</v>
      </c>
    </row>
    <row r="138" spans="1:9">
      <c r="A138" t="s">
        <v>15</v>
      </c>
      <c r="B138" t="s">
        <v>18</v>
      </c>
      <c r="C138" t="s">
        <v>10</v>
      </c>
      <c r="D138">
        <v>714.8</v>
      </c>
      <c r="E138">
        <v>0.19</v>
      </c>
      <c r="G138">
        <v>1387.2305140414746</v>
      </c>
      <c r="H138">
        <v>202.72104450794998</v>
      </c>
      <c r="I138">
        <v>14.760127999341224</v>
      </c>
    </row>
    <row r="139" spans="1:9">
      <c r="A139" t="s">
        <v>15</v>
      </c>
      <c r="B139" t="s">
        <v>18</v>
      </c>
      <c r="C139" t="s">
        <v>10</v>
      </c>
      <c r="D139">
        <v>662.3</v>
      </c>
      <c r="E139">
        <v>0.34</v>
      </c>
      <c r="G139">
        <v>6878.7692450824106</v>
      </c>
      <c r="H139">
        <v>260.41822585702374</v>
      </c>
      <c r="I139">
        <v>15.024892179279533</v>
      </c>
    </row>
    <row r="140" spans="1:9">
      <c r="A140" t="s">
        <v>15</v>
      </c>
      <c r="B140" t="s">
        <v>18</v>
      </c>
      <c r="C140" t="s">
        <v>10</v>
      </c>
      <c r="D140">
        <v>576.20000000000005</v>
      </c>
      <c r="E140">
        <v>0.14000000000000001</v>
      </c>
      <c r="G140">
        <v>921.41099451231548</v>
      </c>
      <c r="H140">
        <v>907.83941599474031</v>
      </c>
      <c r="I140">
        <v>18.053852589001597</v>
      </c>
    </row>
    <row r="141" spans="1:9">
      <c r="A141" t="s">
        <v>15</v>
      </c>
      <c r="B141" t="s">
        <v>18</v>
      </c>
      <c r="C141" t="s">
        <v>10</v>
      </c>
      <c r="D141">
        <v>605.20000000000005</v>
      </c>
      <c r="E141">
        <v>0.25</v>
      </c>
      <c r="G141">
        <v>2603.1460784801143</v>
      </c>
      <c r="H141">
        <v>292.30355844021511</v>
      </c>
      <c r="I141">
        <v>33.241600118092876</v>
      </c>
    </row>
    <row r="142" spans="1:9">
      <c r="A142" t="s">
        <v>15</v>
      </c>
      <c r="B142" t="s">
        <v>18</v>
      </c>
      <c r="C142" t="s">
        <v>11</v>
      </c>
      <c r="D142">
        <v>539.9</v>
      </c>
      <c r="F142">
        <v>7</v>
      </c>
      <c r="G142">
        <v>1262.8803424778516</v>
      </c>
      <c r="H142">
        <v>197.72675027838758</v>
      </c>
      <c r="I142">
        <v>14.044334269584255</v>
      </c>
    </row>
    <row r="143" spans="1:9">
      <c r="A143" t="s">
        <v>15</v>
      </c>
      <c r="B143" t="s">
        <v>18</v>
      </c>
      <c r="C143" t="s">
        <v>11</v>
      </c>
      <c r="D143">
        <v>619.5</v>
      </c>
      <c r="F143">
        <v>6</v>
      </c>
      <c r="G143">
        <v>745.45902878187792</v>
      </c>
      <c r="H143">
        <v>344.33382097357253</v>
      </c>
      <c r="I143">
        <v>15.118556659538198</v>
      </c>
    </row>
    <row r="144" spans="1:9">
      <c r="A144" t="s">
        <v>15</v>
      </c>
      <c r="B144" t="s">
        <v>18</v>
      </c>
      <c r="C144" t="s">
        <v>11</v>
      </c>
      <c r="D144">
        <v>1227</v>
      </c>
      <c r="F144">
        <v>5</v>
      </c>
      <c r="G144">
        <v>724.38656172248182</v>
      </c>
      <c r="H144">
        <v>211.11972037170767</v>
      </c>
      <c r="I144">
        <v>11.173979417540645</v>
      </c>
    </row>
    <row r="145" spans="1:9">
      <c r="A145" t="s">
        <v>15</v>
      </c>
      <c r="B145" t="s">
        <v>18</v>
      </c>
      <c r="C145" t="s">
        <v>11</v>
      </c>
      <c r="D145">
        <v>700.8</v>
      </c>
      <c r="F145">
        <v>9</v>
      </c>
      <c r="G145">
        <v>738.5373390623472</v>
      </c>
      <c r="H145">
        <v>225.17659389325851</v>
      </c>
      <c r="I145">
        <v>11.424608618008728</v>
      </c>
    </row>
    <row r="146" spans="1:9">
      <c r="A146" t="s">
        <v>15</v>
      </c>
      <c r="B146" t="s">
        <v>18</v>
      </c>
      <c r="C146" t="s">
        <v>11</v>
      </c>
      <c r="D146">
        <v>544.5</v>
      </c>
      <c r="F146">
        <v>5</v>
      </c>
      <c r="G146">
        <v>665.00496129184239</v>
      </c>
      <c r="H146">
        <v>194.97496556140189</v>
      </c>
      <c r="I146">
        <v>18.685176883131934</v>
      </c>
    </row>
    <row r="147" spans="1:9">
      <c r="A147" t="s">
        <v>15</v>
      </c>
      <c r="B147" t="s">
        <v>18</v>
      </c>
      <c r="C147" t="s">
        <v>11</v>
      </c>
      <c r="D147">
        <v>803.5</v>
      </c>
      <c r="F147">
        <v>14</v>
      </c>
    </row>
    <row r="148" spans="1:9">
      <c r="A148" t="s">
        <v>15</v>
      </c>
      <c r="B148" t="s">
        <v>18</v>
      </c>
      <c r="C148" t="s">
        <v>11</v>
      </c>
      <c r="D148">
        <v>299.60000000000002</v>
      </c>
      <c r="F148">
        <v>12</v>
      </c>
    </row>
    <row r="149" spans="1:9">
      <c r="A149" t="s">
        <v>15</v>
      </c>
      <c r="B149" t="s">
        <v>18</v>
      </c>
      <c r="C149" t="s">
        <v>11</v>
      </c>
      <c r="D149">
        <v>1008.4</v>
      </c>
      <c r="F149">
        <v>8</v>
      </c>
    </row>
    <row r="150" spans="1:9">
      <c r="A150" t="s">
        <v>15</v>
      </c>
      <c r="B150" t="s">
        <v>18</v>
      </c>
      <c r="C150" t="s">
        <v>11</v>
      </c>
      <c r="D150">
        <v>917.5</v>
      </c>
      <c r="F150">
        <v>10</v>
      </c>
    </row>
    <row r="151" spans="1:9">
      <c r="A151" t="s">
        <v>15</v>
      </c>
      <c r="B151" t="s">
        <v>18</v>
      </c>
      <c r="C151" t="s">
        <v>11</v>
      </c>
      <c r="D151">
        <v>683.8</v>
      </c>
      <c r="F151">
        <v>8</v>
      </c>
    </row>
    <row r="152" spans="1:9">
      <c r="A152" t="s">
        <v>15</v>
      </c>
      <c r="B152" t="s">
        <v>18</v>
      </c>
      <c r="C152" t="s">
        <v>2</v>
      </c>
      <c r="D152">
        <v>1049.3</v>
      </c>
      <c r="F152">
        <v>9</v>
      </c>
    </row>
    <row r="153" spans="1:9">
      <c r="A153" t="s">
        <v>15</v>
      </c>
      <c r="B153" t="s">
        <v>18</v>
      </c>
      <c r="C153" t="s">
        <v>2</v>
      </c>
      <c r="D153">
        <v>841.4</v>
      </c>
      <c r="F153">
        <v>6</v>
      </c>
    </row>
    <row r="154" spans="1:9">
      <c r="A154" t="s">
        <v>15</v>
      </c>
      <c r="B154" t="s">
        <v>18</v>
      </c>
      <c r="C154" t="s">
        <v>2</v>
      </c>
      <c r="D154">
        <v>864.3</v>
      </c>
      <c r="E154">
        <v>0.1</v>
      </c>
      <c r="F154">
        <v>6</v>
      </c>
      <c r="G154">
        <v>1524.6732524509111</v>
      </c>
      <c r="H154">
        <v>227.11232360111316</v>
      </c>
      <c r="I154">
        <v>15.160588049703964</v>
      </c>
    </row>
    <row r="155" spans="1:9">
      <c r="A155" t="s">
        <v>15</v>
      </c>
      <c r="B155" t="s">
        <v>18</v>
      </c>
      <c r="C155" t="s">
        <v>2</v>
      </c>
      <c r="D155">
        <v>544.29999999999995</v>
      </c>
      <c r="E155">
        <v>0.17</v>
      </c>
      <c r="F155">
        <v>5</v>
      </c>
    </row>
    <row r="156" spans="1:9">
      <c r="A156" t="s">
        <v>15</v>
      </c>
      <c r="B156" t="s">
        <v>18</v>
      </c>
      <c r="C156" t="s">
        <v>2</v>
      </c>
      <c r="D156">
        <v>749.2</v>
      </c>
      <c r="F156">
        <v>8</v>
      </c>
    </row>
    <row r="157" spans="1:9">
      <c r="A157" t="s">
        <v>15</v>
      </c>
      <c r="B157" t="s">
        <v>18</v>
      </c>
      <c r="C157" t="s">
        <v>2</v>
      </c>
      <c r="D157">
        <v>959.7</v>
      </c>
      <c r="F157">
        <v>6</v>
      </c>
    </row>
    <row r="158" spans="1:9">
      <c r="A158" t="s">
        <v>15</v>
      </c>
      <c r="B158" t="s">
        <v>18</v>
      </c>
      <c r="C158" t="s">
        <v>2</v>
      </c>
      <c r="D158">
        <v>723.4</v>
      </c>
      <c r="E158">
        <v>0.12</v>
      </c>
      <c r="F158">
        <v>11</v>
      </c>
      <c r="G158">
        <v>1091.1052047621829</v>
      </c>
      <c r="H158">
        <v>149.27031238643093</v>
      </c>
      <c r="I158">
        <v>12.57655001095676</v>
      </c>
    </row>
    <row r="159" spans="1:9">
      <c r="A159" t="s">
        <v>15</v>
      </c>
      <c r="B159" t="s">
        <v>18</v>
      </c>
      <c r="C159" t="s">
        <v>2</v>
      </c>
      <c r="D159">
        <v>913</v>
      </c>
      <c r="E159">
        <v>0.13</v>
      </c>
      <c r="F159">
        <v>8</v>
      </c>
      <c r="G159">
        <v>1528.5290906921325</v>
      </c>
      <c r="H159">
        <v>213.90606679021516</v>
      </c>
      <c r="I159">
        <v>10.787468241310638</v>
      </c>
    </row>
    <row r="160" spans="1:9">
      <c r="A160" t="s">
        <v>15</v>
      </c>
      <c r="B160" t="s">
        <v>18</v>
      </c>
      <c r="C160" t="s">
        <v>2</v>
      </c>
      <c r="D160">
        <v>503</v>
      </c>
      <c r="E160">
        <v>0.18</v>
      </c>
      <c r="F160">
        <v>11</v>
      </c>
      <c r="G160">
        <v>966.84153449472296</v>
      </c>
      <c r="H160">
        <v>204.20253945585304</v>
      </c>
      <c r="I160">
        <v>11.229495464899813</v>
      </c>
    </row>
    <row r="161" spans="1:6">
      <c r="A161" t="s">
        <v>15</v>
      </c>
      <c r="B161" t="s">
        <v>18</v>
      </c>
      <c r="C161" t="s">
        <v>2</v>
      </c>
      <c r="D161">
        <v>927.1</v>
      </c>
      <c r="F161">
        <v>10</v>
      </c>
    </row>
  </sheetData>
  <autoFilter ref="A1:C161" xr:uid="{DB3794BF-D990-407B-8270-B3B2BB36A929}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5127D-CBBD-4861-B86C-F51E926D663E}">
  <dimension ref="A2:O27"/>
  <sheetViews>
    <sheetView workbookViewId="0">
      <selection activeCell="B21" sqref="B21"/>
    </sheetView>
  </sheetViews>
  <sheetFormatPr defaultRowHeight="14.4"/>
  <sheetData>
    <row r="2" spans="1:15">
      <c r="B2" t="s">
        <v>4</v>
      </c>
      <c r="C2" t="s">
        <v>5</v>
      </c>
      <c r="F2" t="s">
        <v>4</v>
      </c>
      <c r="G2" t="s">
        <v>5</v>
      </c>
      <c r="J2" t="s">
        <v>4</v>
      </c>
      <c r="K2" t="s">
        <v>5</v>
      </c>
      <c r="N2" t="s">
        <v>4</v>
      </c>
      <c r="O2" t="s">
        <v>5</v>
      </c>
    </row>
    <row r="3" spans="1:15">
      <c r="A3" t="s">
        <v>6</v>
      </c>
      <c r="B3" s="2">
        <v>980.3</v>
      </c>
      <c r="C3" s="2">
        <v>497.8</v>
      </c>
      <c r="E3" t="s">
        <v>0</v>
      </c>
      <c r="F3" s="2">
        <v>1166.2</v>
      </c>
      <c r="G3" s="2">
        <v>560.1</v>
      </c>
      <c r="I3" t="s">
        <v>1</v>
      </c>
      <c r="J3" s="2">
        <v>400.6</v>
      </c>
      <c r="K3" s="2">
        <v>564.6</v>
      </c>
      <c r="M3" t="s">
        <v>2</v>
      </c>
      <c r="N3" s="2">
        <v>705</v>
      </c>
      <c r="O3" s="2">
        <v>809.5</v>
      </c>
    </row>
    <row r="4" spans="1:15">
      <c r="B4" s="2">
        <v>841.7</v>
      </c>
      <c r="C4" s="2">
        <v>793.5</v>
      </c>
      <c r="F4" s="2">
        <v>521.5</v>
      </c>
      <c r="G4" s="2">
        <v>705.6</v>
      </c>
      <c r="J4" s="2">
        <v>365</v>
      </c>
      <c r="K4" s="3">
        <v>525</v>
      </c>
      <c r="N4" s="2">
        <v>206.1</v>
      </c>
      <c r="O4" s="2">
        <v>619.5</v>
      </c>
    </row>
    <row r="5" spans="1:15">
      <c r="B5" s="2">
        <v>259</v>
      </c>
      <c r="C5" s="2">
        <v>538.9</v>
      </c>
      <c r="F5" s="2">
        <v>514.79999999999995</v>
      </c>
      <c r="G5" s="2">
        <v>784.9</v>
      </c>
      <c r="J5" s="2">
        <v>563.4</v>
      </c>
      <c r="K5" s="2">
        <v>635.70000000000005</v>
      </c>
      <c r="N5" s="2">
        <v>312.5</v>
      </c>
      <c r="O5" s="2">
        <v>418.4</v>
      </c>
    </row>
    <row r="6" spans="1:15">
      <c r="B6" s="1">
        <v>630.4</v>
      </c>
      <c r="C6" s="1">
        <v>604.4</v>
      </c>
      <c r="F6" s="2">
        <v>852.1</v>
      </c>
      <c r="G6" s="2">
        <v>734.3</v>
      </c>
      <c r="J6" s="2">
        <v>810.3</v>
      </c>
      <c r="K6" s="2">
        <v>815</v>
      </c>
      <c r="N6" s="2">
        <v>777.4</v>
      </c>
      <c r="O6" s="2">
        <v>482.2</v>
      </c>
    </row>
    <row r="7" spans="1:15">
      <c r="B7" s="1">
        <v>464.6</v>
      </c>
      <c r="C7" s="1">
        <v>703.8</v>
      </c>
      <c r="F7" s="2">
        <v>415.3</v>
      </c>
      <c r="G7" s="2">
        <v>704</v>
      </c>
      <c r="J7" s="2">
        <v>807</v>
      </c>
      <c r="K7" s="2">
        <v>796.5</v>
      </c>
      <c r="N7" s="2">
        <v>656.4</v>
      </c>
      <c r="O7" s="2">
        <v>707.5</v>
      </c>
    </row>
    <row r="8" spans="1:15">
      <c r="B8" s="1">
        <v>340.5</v>
      </c>
      <c r="C8" s="1">
        <v>335.8</v>
      </c>
      <c r="F8" s="2">
        <v>313.2</v>
      </c>
      <c r="G8" s="2">
        <v>780.6</v>
      </c>
      <c r="J8" s="2">
        <v>515.6</v>
      </c>
      <c r="K8" s="2">
        <v>522.9</v>
      </c>
      <c r="N8" s="2">
        <v>569.20000000000005</v>
      </c>
      <c r="O8" s="2">
        <v>719.1</v>
      </c>
    </row>
    <row r="9" spans="1:15">
      <c r="B9" s="2">
        <v>487.2</v>
      </c>
      <c r="C9" s="2">
        <v>858.6</v>
      </c>
      <c r="F9" s="1">
        <v>728.8</v>
      </c>
      <c r="G9" s="1">
        <v>688.5</v>
      </c>
      <c r="J9" s="1">
        <v>525.5</v>
      </c>
      <c r="K9" s="1">
        <v>273.7</v>
      </c>
      <c r="N9" s="1">
        <v>654.70000000000005</v>
      </c>
      <c r="O9" s="1">
        <v>784</v>
      </c>
    </row>
    <row r="10" spans="1:15">
      <c r="B10" s="3">
        <v>475.6</v>
      </c>
      <c r="C10" s="3">
        <v>601.79999999999995</v>
      </c>
      <c r="F10" s="1">
        <v>621.20000000000005</v>
      </c>
      <c r="G10" s="1">
        <v>932.8</v>
      </c>
      <c r="J10" s="1">
        <v>636.5</v>
      </c>
      <c r="K10" s="1">
        <v>628.1</v>
      </c>
      <c r="N10" s="1">
        <v>779.9</v>
      </c>
      <c r="O10" s="1">
        <v>473.4</v>
      </c>
    </row>
    <row r="11" spans="1:15">
      <c r="B11" s="2">
        <v>535.1</v>
      </c>
      <c r="C11" s="2">
        <v>856.4</v>
      </c>
      <c r="F11" s="1">
        <v>464.1</v>
      </c>
      <c r="G11" s="1">
        <v>349.5</v>
      </c>
      <c r="J11" s="1">
        <v>736.7</v>
      </c>
      <c r="K11" s="1">
        <v>462.6</v>
      </c>
      <c r="N11" s="1">
        <v>604.70000000000005</v>
      </c>
      <c r="O11" s="1">
        <v>336.2</v>
      </c>
    </row>
    <row r="12" spans="1:15">
      <c r="B12" s="1">
        <v>433.6</v>
      </c>
      <c r="C12" s="1">
        <v>870.9</v>
      </c>
      <c r="F12" s="1">
        <v>819.9</v>
      </c>
      <c r="G12" s="1">
        <v>579.70000000000005</v>
      </c>
      <c r="J12" s="1">
        <v>918.8</v>
      </c>
      <c r="K12" s="1">
        <v>410.7</v>
      </c>
      <c r="N12" s="1">
        <v>647.79999999999995</v>
      </c>
      <c r="O12" s="1">
        <v>426.3</v>
      </c>
    </row>
    <row r="13" spans="1:15">
      <c r="B13" s="1"/>
      <c r="C13" s="1">
        <v>496.1</v>
      </c>
      <c r="F13" s="1">
        <v>229.9</v>
      </c>
      <c r="G13" s="1">
        <v>335.3</v>
      </c>
      <c r="J13" s="1">
        <v>631.20000000000005</v>
      </c>
      <c r="K13" s="1">
        <v>543.5</v>
      </c>
      <c r="N13" s="1">
        <v>466.8</v>
      </c>
      <c r="O13" s="1">
        <v>1032</v>
      </c>
    </row>
    <row r="14" spans="1:15">
      <c r="B14" s="1">
        <v>679.4</v>
      </c>
      <c r="C14" s="1">
        <v>499.2</v>
      </c>
      <c r="F14" s="2">
        <v>596.9</v>
      </c>
      <c r="G14" s="2">
        <v>440.2</v>
      </c>
      <c r="J14" s="2">
        <v>540.1</v>
      </c>
      <c r="K14" s="2">
        <v>841.2</v>
      </c>
      <c r="N14" s="2">
        <v>336.9</v>
      </c>
      <c r="O14" s="2">
        <v>798.4</v>
      </c>
    </row>
    <row r="15" spans="1:15">
      <c r="B15">
        <f>AVERAGE(B3:B14)</f>
        <v>557.03636363636372</v>
      </c>
      <c r="C15">
        <f>AVERAGE(C3:C14)</f>
        <v>638.1</v>
      </c>
      <c r="F15" s="2">
        <v>671.3</v>
      </c>
      <c r="G15" s="2">
        <v>560.6</v>
      </c>
      <c r="J15" s="2">
        <v>509.3</v>
      </c>
      <c r="K15" s="2">
        <v>449.6</v>
      </c>
      <c r="N15" s="2">
        <v>790</v>
      </c>
      <c r="O15" s="2">
        <v>882.6</v>
      </c>
    </row>
    <row r="16" spans="1:15">
      <c r="F16" s="2">
        <v>765.6</v>
      </c>
      <c r="G16" s="2">
        <v>294.8</v>
      </c>
      <c r="J16" s="2">
        <v>421</v>
      </c>
      <c r="K16" s="2">
        <v>727.4</v>
      </c>
      <c r="N16" s="2">
        <v>667</v>
      </c>
      <c r="O16" s="2">
        <v>1146</v>
      </c>
    </row>
    <row r="17" spans="1:15">
      <c r="F17" s="2">
        <v>832.4</v>
      </c>
      <c r="G17" s="2">
        <v>468.6</v>
      </c>
      <c r="J17" s="2">
        <v>631.4</v>
      </c>
      <c r="K17" s="2">
        <v>291.8</v>
      </c>
      <c r="N17" s="2">
        <v>536.20000000000005</v>
      </c>
      <c r="O17" s="2">
        <v>803.8</v>
      </c>
    </row>
    <row r="18" spans="1:15">
      <c r="F18" s="2">
        <v>379.8</v>
      </c>
      <c r="G18" s="2">
        <v>579.9</v>
      </c>
      <c r="J18" s="2">
        <v>708.2</v>
      </c>
      <c r="K18" s="2">
        <v>624.29999999999995</v>
      </c>
      <c r="N18" s="2">
        <v>617.5</v>
      </c>
      <c r="O18" s="2">
        <v>937.4</v>
      </c>
    </row>
    <row r="19" spans="1:15">
      <c r="F19" s="2">
        <v>696</v>
      </c>
      <c r="G19" s="2">
        <v>668.1</v>
      </c>
      <c r="J19" s="2">
        <v>490.8</v>
      </c>
      <c r="K19" s="2"/>
      <c r="N19" s="2">
        <v>717.7</v>
      </c>
      <c r="O19" s="2">
        <v>889.6</v>
      </c>
    </row>
    <row r="20" spans="1:15">
      <c r="F20" s="1">
        <v>877.6</v>
      </c>
      <c r="G20" s="1">
        <v>745.3</v>
      </c>
      <c r="J20" s="1">
        <v>778.2</v>
      </c>
      <c r="K20" s="1">
        <v>533.1</v>
      </c>
      <c r="N20" s="1">
        <v>779.6</v>
      </c>
      <c r="O20" s="1">
        <v>543.1</v>
      </c>
    </row>
    <row r="21" spans="1:15">
      <c r="F21" s="1">
        <v>613.29999999999995</v>
      </c>
      <c r="G21" s="1">
        <v>688.7</v>
      </c>
      <c r="J21" s="1">
        <v>864.3</v>
      </c>
      <c r="K21" s="1">
        <v>734.6</v>
      </c>
      <c r="N21" s="1">
        <v>410.3</v>
      </c>
      <c r="O21" s="1">
        <v>553.4</v>
      </c>
    </row>
    <row r="22" spans="1:15">
      <c r="F22" s="1">
        <v>623.20000000000005</v>
      </c>
      <c r="G22" s="1">
        <v>825.9</v>
      </c>
      <c r="J22" s="1">
        <v>979.4</v>
      </c>
      <c r="K22" s="1">
        <v>676.4</v>
      </c>
      <c r="N22" s="1">
        <v>412.2</v>
      </c>
      <c r="O22" s="1">
        <v>824.5</v>
      </c>
    </row>
    <row r="23" spans="1:15">
      <c r="F23" s="1">
        <v>476.6</v>
      </c>
      <c r="G23" s="1">
        <v>501.3</v>
      </c>
      <c r="J23" s="1">
        <v>978.1</v>
      </c>
      <c r="K23" s="1">
        <v>417.3</v>
      </c>
      <c r="N23" s="1">
        <v>308.10000000000002</v>
      </c>
      <c r="O23" s="1">
        <v>940.1</v>
      </c>
    </row>
    <row r="24" spans="1:15">
      <c r="F24" s="1">
        <v>604.9</v>
      </c>
      <c r="G24" s="1">
        <v>494.3</v>
      </c>
      <c r="J24" s="1">
        <v>576.70000000000005</v>
      </c>
      <c r="K24" s="1">
        <v>453.5</v>
      </c>
      <c r="N24" s="1">
        <v>675.5</v>
      </c>
      <c r="O24" s="1">
        <v>576.70000000000005</v>
      </c>
    </row>
    <row r="25" spans="1:15">
      <c r="F25">
        <f>AVERAGE(F3:F24)</f>
        <v>626.57272727272721</v>
      </c>
      <c r="G25">
        <f>AVERAGE(G3:G24)</f>
        <v>610.13636363636351</v>
      </c>
      <c r="J25">
        <f>AVERAGE(J3:J24)</f>
        <v>654.00454545454545</v>
      </c>
      <c r="K25">
        <f>AVERAGE(K3:K24)</f>
        <v>567.97619047619048</v>
      </c>
      <c r="N25">
        <f>AVERAGE(N3:N24)</f>
        <v>574.15909090909099</v>
      </c>
      <c r="O25">
        <f>AVERAGE(O3:O24)</f>
        <v>713.8045454545454</v>
      </c>
    </row>
    <row r="27" spans="1:15">
      <c r="A27" t="s">
        <v>3</v>
      </c>
      <c r="B27" s="4">
        <f>TTEST(B3:B14,C3:C14,2,2)</f>
        <v>0.32923017196223947</v>
      </c>
      <c r="F27" s="4">
        <f>TTEST(F3:F24,G3:G24,2,2)</f>
        <v>0.77853293220654463</v>
      </c>
      <c r="J27" s="4">
        <f>TTEST(J3:J24,K3:K24,2,2)</f>
        <v>0.11124743507232286</v>
      </c>
      <c r="N27" s="4">
        <f>TTEST(N3:N24,O3:O24,2,2)</f>
        <v>2.4071976757048079E-2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Abbreviation</vt:lpstr>
      <vt:lpstr>raw data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이하령</dc:creator>
  <cp:lastModifiedBy>이하령</cp:lastModifiedBy>
  <cp:lastPrinted>2024-05-23T09:14:26Z</cp:lastPrinted>
  <dcterms:created xsi:type="dcterms:W3CDTF">2024-05-10T00:28:08Z</dcterms:created>
  <dcterms:modified xsi:type="dcterms:W3CDTF">2026-01-28T08:03:57Z</dcterms:modified>
</cp:coreProperties>
</file>